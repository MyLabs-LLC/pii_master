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 Log" sheetId="1" state="visible" r:id="rId1"/>
    <sheet name="Run Results" sheetId="2" state="visible" r:id="rId2"/>
    <sheet name="Per Tag Results" sheetId="3" state="visible" r:id="rId3"/>
    <sheet name="Data Quality Log" sheetId="4" state="visible" r:id="rId4"/>
    <sheet name="Reference" sheetId="5" state="hidden" r:id="rId5"/>
  </sheets>
  <definedNames>
    <definedName name="_xlnm._FilterDatabase" localSheetId="0" hidden="1">'Experiment Log'!$A$1:$AC$417</definedName>
    <definedName name="_xlnm._FilterDatabase" localSheetId="1" hidden="1">'Run Results'!$A$30:$O$576</definedName>
    <definedName name="_xlnm._FilterDatabase" localSheetId="2" hidden="1">'Per Tag Results'!$A$1:$P$56</definedName>
    <definedName name="_xlnm._FilterDatabase" localSheetId="3" hidden="1">'Data Quality Log'!$A$1:$K$32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"/>
    <numFmt numFmtId="165" formatCode="#,##0;;&quot;&quot;"/>
    <numFmt numFmtId="166" formatCode="0.000"/>
    <numFmt numFmtId="167" formatCode="#,##0.0"/>
    <numFmt numFmtId="168" formatCode="0.0"/>
    <numFmt numFmtId="169" formatCode="+0.000;-0.000;&quot;&quot;"/>
    <numFmt numFmtId="170" formatCode="0.0000"/>
  </numFmts>
  <fonts count="4">
    <font>
      <name val="Calibri"/>
      <family val="2"/>
      <color theme="1"/>
      <sz val="11"/>
      <scheme val="minor"/>
    </font>
    <font>
      <b val="1"/>
      <color rgb="FFFFFFFF"/>
      <sz val="10"/>
    </font>
    <font>
      <b val="1"/>
      <color rgb="FF1F3A5F"/>
      <sz val="13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FF1F3A5F"/>
      </patternFill>
    </fill>
    <fill>
      <patternFill patternType="solid">
        <fgColor rgb="FFF4F6F8"/>
      </patternFill>
    </fill>
  </fills>
  <borders count="2">
    <border>
      <left/>
      <right/>
      <top/>
      <bottom/>
      <diagonal/>
    </border>
    <border>
      <bottom style="thin">
        <color rgb="FFD4D8DD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0" fontId="0" fillId="0" borderId="1" applyAlignment="1" pivotButton="0" quotePrefix="0" xfId="0">
      <alignment horizontal="center" vertical="top"/>
    </xf>
    <xf numFmtId="165" fontId="0" fillId="0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  <xf numFmtId="167" fontId="0" fillId="0" borderId="1" applyAlignment="1" pivotButton="0" quotePrefix="0" xfId="0">
      <alignment vertical="top"/>
    </xf>
    <xf numFmtId="168" fontId="0" fillId="0" borderId="1" applyAlignment="1" pivotButton="0" quotePrefix="0" xfId="0">
      <alignment vertical="top"/>
    </xf>
    <xf numFmtId="169" fontId="0" fillId="0" borderId="1" applyAlignment="1" pivotButton="0" quotePrefix="0" xfId="0">
      <alignment vertical="top"/>
    </xf>
    <xf numFmtId="1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/>
    </xf>
    <xf numFmtId="164" fontId="0" fillId="3" borderId="1" applyAlignment="1" pivotButton="0" quotePrefix="0" xfId="0">
      <alignment vertical="top"/>
    </xf>
    <xf numFmtId="0" fontId="0" fillId="3" borderId="1" applyAlignment="1" pivotButton="0" quotePrefix="0" xfId="0">
      <alignment horizontal="center" vertical="top"/>
    </xf>
    <xf numFmtId="165" fontId="0" fillId="3" borderId="1" applyAlignment="1" pivotButton="0" quotePrefix="0" xfId="0">
      <alignment vertical="top"/>
    </xf>
    <xf numFmtId="166" fontId="0" fillId="3" borderId="1" applyAlignment="1" pivotButton="0" quotePrefix="0" xfId="0">
      <alignment vertical="top"/>
    </xf>
    <xf numFmtId="167" fontId="0" fillId="3" borderId="1" applyAlignment="1" pivotButton="0" quotePrefix="0" xfId="0">
      <alignment vertical="top"/>
    </xf>
    <xf numFmtId="168" fontId="0" fillId="3" borderId="1" applyAlignment="1" pivotButton="0" quotePrefix="0" xfId="0">
      <alignment vertical="top"/>
    </xf>
    <xf numFmtId="169" fontId="0" fillId="3" borderId="1" applyAlignment="1" pivotButton="0" quotePrefix="0" xfId="0">
      <alignment vertical="top"/>
    </xf>
    <xf numFmtId="1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3" fontId="0" fillId="0" borderId="0" pivotButton="0" quotePrefix="0" xfId="0"/>
    <xf numFmtId="170" fontId="0" fillId="0" borderId="0" pivotButton="0" quotePrefix="0" xfId="0"/>
    <xf numFmtId="0" fontId="0" fillId="3" borderId="0" pivotButton="0" quotePrefix="0" xfId="0"/>
    <xf numFmtId="0" fontId="0" fillId="3" borderId="0" applyAlignment="1" pivotButton="0" quotePrefix="0" xfId="0">
      <alignment vertical="top" wrapText="1"/>
    </xf>
    <xf numFmtId="3" fontId="0" fillId="3" borderId="0" pivotButton="0" quotePrefix="0" xfId="0"/>
    <xf numFmtId="170" fontId="0" fillId="3" borderId="0" pivotButton="0" quotePrefix="0" xfId="0"/>
    <xf numFmtId="0" fontId="0" fillId="0" borderId="0" applyAlignment="1" pivotButton="0" quotePrefix="0" xfId="0">
      <alignment vertical="top"/>
    </xf>
    <xf numFmtId="0" fontId="0" fillId="3" borderId="0" applyAlignment="1" pivotButton="0" quotePrefix="0" xfId="0">
      <alignment vertical="top"/>
    </xf>
  </cellXfs>
  <cellStyles count="1">
    <cellStyle name="Normal" xfId="0" builtinId="0" hidden="0"/>
  </cellStyles>
  <dxfs count="2">
    <dxf>
      <font>
        <b val="1"/>
        <color rgb="FF9C6500"/>
      </font>
      <fill>
        <patternFill patternType="solid">
          <fgColor rgb="FFFFEB9C"/>
        </patternFill>
      </fill>
    </dxf>
    <dxf>
      <font>
        <b val="1"/>
        <color rgb="FF9C0006"/>
      </font>
      <fill>
        <patternFill patternType="solid">
          <f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sdlc-model-pipeline</author>
  </authors>
  <commentList>
    <comment ref="H1" authorId="0" shapeId="0">
      <text>
        <t>Any leakage above 0% auto-flags the Status column as FAIL.</t>
      </text>
    </comment>
    <comment ref="I1" authorId="0" shapeId="0">
      <text>
        <t>Only applies to public external benchmarks — check whether pretrained models saw them during training.</t>
      </text>
    </comment>
    <comment ref="K1" authorId="0" shapeId="0">
      <text>
        <t>Formula: FAIL when train/eval leakage &gt; 0%, otherwise OK. Blank until leakage is filled in.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17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1" customWidth="1" min="2" max="2"/>
    <col width="15" customWidth="1" min="3" max="3"/>
    <col width="30" customWidth="1" min="4" max="4"/>
    <col width="26" customWidth="1" min="5" max="5"/>
    <col width="6" customWidth="1" min="6" max="6"/>
    <col width="9" customWidth="1" min="7" max="7"/>
    <col width="8" customWidth="1" min="8" max="8"/>
    <col width="8" customWidth="1" min="9" max="9"/>
    <col width="8" customWidth="1" min="10" max="10"/>
    <col width="10" customWidth="1" min="11" max="11"/>
    <col width="12" customWidth="1" min="12" max="12"/>
    <col width="11" customWidth="1" min="13" max="13"/>
    <col width="9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4" customWidth="1" min="21" max="21"/>
    <col width="15" customWidth="1" min="22" max="22"/>
    <col width="9" customWidth="1" min="23" max="23"/>
    <col width="10" customWidth="1" min="24" max="24"/>
    <col width="11" customWidth="1" min="25" max="25"/>
    <col width="13" customWidth="1" min="26" max="26"/>
    <col width="12" customWidth="1" min="27" max="27"/>
    <col width="40" customWidth="1" min="28" max="28"/>
    <col width="52" customWidth="1" min="29" max="29"/>
  </cols>
  <sheetData>
    <row r="1" ht="30" customHeight="1">
      <c r="A1" s="1" t="inlineStr">
        <is>
          <t>Run ID</t>
        </is>
      </c>
      <c r="B1" s="1" t="inlineStr">
        <is>
          <t>Date</t>
        </is>
      </c>
      <c r="C1" s="1" t="inlineStr">
        <is>
          <t>Track</t>
        </is>
      </c>
      <c r="D1" s="1" t="inlineStr">
        <is>
          <t>Model</t>
        </is>
      </c>
      <c r="E1" s="1" t="inlineStr">
        <is>
          <t>Dataset</t>
        </is>
      </c>
      <c r="F1" s="1" t="inlineStr">
        <is>
          <t>Tier</t>
        </is>
      </c>
      <c r="G1" s="1" t="inlineStr">
        <is>
          <t>c_read</t>
        </is>
      </c>
      <c r="H1" s="1" t="inlineStr">
        <is>
          <t>F1@5</t>
        </is>
      </c>
      <c r="I1" s="1" t="inlineStr">
        <is>
          <t>F1@3</t>
        </is>
      </c>
      <c r="J1" s="1" t="inlineStr">
        <is>
          <t>F1@1</t>
        </is>
      </c>
      <c r="K1" s="1" t="inlineStr">
        <is>
          <t>Docs/sec</t>
        </is>
      </c>
      <c r="L1" s="1" t="inlineStr">
        <is>
          <t>Latency (ms/doc)</t>
        </is>
      </c>
      <c r="M1" s="1" t="inlineStr">
        <is>
          <t>Compare vs Run ID</t>
        </is>
      </c>
      <c r="N1" s="1" t="inlineStr">
        <is>
          <t>Δ</t>
        </is>
      </c>
      <c r="O1" s="1" t="inlineStr">
        <is>
          <t>Macro F1</t>
        </is>
      </c>
      <c r="P1" s="1" t="inlineStr">
        <is>
          <t>Macro F2</t>
        </is>
      </c>
      <c r="Q1" s="1" t="inlineStr">
        <is>
          <t>Micro F1</t>
        </is>
      </c>
      <c r="R1" s="1" t="inlineStr">
        <is>
          <t>Micro F2</t>
        </is>
      </c>
      <c r="S1" s="1" t="inlineStr">
        <is>
          <t>Precision</t>
        </is>
      </c>
      <c r="T1" s="1" t="inlineStr">
        <is>
          <t>Recall</t>
        </is>
      </c>
      <c r="U1" s="1" t="inlineStr">
        <is>
          <t>Severity Recall Min</t>
        </is>
      </c>
      <c r="V1" s="1" t="inlineStr">
        <is>
          <t>Severity Recall Mean</t>
        </is>
      </c>
      <c r="W1" s="1" t="inlineStr">
        <is>
          <t>F2 Min</t>
        </is>
      </c>
      <c r="X1" s="1" t="inlineStr">
        <is>
          <t>F2 Median</t>
        </is>
      </c>
      <c r="Y1" s="1" t="inlineStr">
        <is>
          <t>Tags F2 Zero</t>
        </is>
      </c>
      <c r="Z1" s="1" t="inlineStr">
        <is>
          <t>Tags F2 &lt;0.10</t>
        </is>
      </c>
      <c r="AA1" s="1" t="inlineStr">
        <is>
          <t>Prediction Rate</t>
        </is>
      </c>
      <c r="AB1" s="1" t="inlineStr">
        <is>
          <t>What changed</t>
        </is>
      </c>
      <c r="AC1" s="1" t="inlineStr">
        <is>
          <t>Verdict / Notes</t>
        </is>
      </c>
    </row>
    <row r="2" ht="28" customHeight="1">
      <c r="A2" s="2" t="inlineStr">
        <is>
          <t>R1.1</t>
        </is>
      </c>
      <c r="B2" s="3" t="n">
        <v>46254</v>
      </c>
      <c r="C2" s="2" t="inlineStr">
        <is>
          <t>sensitive</t>
        </is>
      </c>
      <c r="D2" s="2" t="inlineStr">
        <is>
          <t>control_most_frequent_5</t>
        </is>
      </c>
      <c r="E2" s="2" t="inlineStr">
        <is>
          <t>holdout20k</t>
        </is>
      </c>
      <c r="F2" s="4" t="inlineStr">
        <is>
          <t>T1</t>
        </is>
      </c>
      <c r="G2" s="5" t="n">
        <v>0</v>
      </c>
      <c r="H2" s="6" t="n">
        <v>0.77315</v>
      </c>
      <c r="I2" s="6" t="n">
        <v>0.7534500000000001</v>
      </c>
      <c r="J2" s="6" t="n">
        <v>0.5619499999999999</v>
      </c>
      <c r="K2" s="7" t="n"/>
      <c r="L2" s="8" t="n"/>
      <c r="M2" s="4" t="n"/>
      <c r="N2" s="9">
        <f>IFERROR(IF(P2&lt;&gt;"",IF(INDEX($P$2:$P$417,MATCH($M2,$A$2:$A$417,0))="","",P2-INDEX($P$2:$P$417,MATCH($M2,$A$2:$A$417,0))),IF(H2&lt;&gt;"",IF(INDEX($H$2:$H$417,MATCH($M2,$A$2:$A$417,0))="","",H2-INDEX($H$2:$H$417,MATCH($M2,$A$2:$A$417,0))),IF(O2&lt;&gt;"",IF(INDEX($O$2:$O$417,MATCH($M2,$A$2:$A$417,0))="","",O2-INDEX($O$2:$O$417,MATCH($M2,$A$2:$A$417,0))),IF(Q2&lt;&gt;"",IF(INDEX($Q$2:$Q$417,MATCH($M2,$A$2:$A$417,0))="","",Q2-INDEX($Q$2:$Q$417,MATCH($M2,$A$2:$A$417,0))),"")))),"")</f>
        <v/>
      </c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10" t="n"/>
      <c r="Z2" s="10" t="n"/>
      <c r="AA2" s="6" t="n"/>
      <c r="AB2" s="11" t="inlineStr">
        <is>
          <t>control: always emit the 5 most frequent train tags (sensitive_pii_email, sensitive_pii_phone_number, sensitive_pii_given_name, sensitive_pii_zip_code, sensitive_pii_family_name)</t>
        </is>
      </c>
      <c r="AC2" s="11" t="inlineStr">
        <is>
          <t>floor for the metric, not a model</t>
        </is>
      </c>
    </row>
    <row r="3" ht="28" customHeight="1">
      <c r="A3" s="12" t="inlineStr">
        <is>
          <t>R1.2</t>
        </is>
      </c>
      <c r="B3" s="13" t="n">
        <v>46254</v>
      </c>
      <c r="C3" s="12" t="inlineStr">
        <is>
          <t>sensitive</t>
        </is>
      </c>
      <c r="D3" s="12" t="inlineStr">
        <is>
          <t>sensitive-ettin17-dualjudge-v1</t>
        </is>
      </c>
      <c r="E3" s="12" t="inlineStr">
        <is>
          <t>holdout20k</t>
        </is>
      </c>
      <c r="F3" s="14" t="inlineStr">
        <is>
          <t>T1</t>
        </is>
      </c>
      <c r="G3" s="15" t="n">
        <v>20000</v>
      </c>
      <c r="H3" s="16" t="n">
        <v>0.77275</v>
      </c>
      <c r="I3" s="16" t="n">
        <v>0.72315</v>
      </c>
      <c r="J3" s="16" t="n">
        <v>0.39115</v>
      </c>
      <c r="K3" s="17">
        <f>IF(OR(L3="",L3=0),"",1000/L3)</f>
        <v/>
      </c>
      <c r="L3" s="18" t="n">
        <v>1.545</v>
      </c>
      <c r="M3" s="14" t="n"/>
      <c r="N3" s="19">
        <f>IFERROR(IF(P3&lt;&gt;"",IF(INDEX($P$2:$P$417,MATCH($M3,$A$2:$A$417,0))="","",P3-INDEX($P$2:$P$417,MATCH($M3,$A$2:$A$417,0))),IF(H3&lt;&gt;"",IF(INDEX($H$2:$H$417,MATCH($M3,$A$2:$A$417,0))="","",H3-INDEX($H$2:$H$417,MATCH($M3,$A$2:$A$417,0))),IF(O3&lt;&gt;"",IF(INDEX($O$2:$O$417,MATCH($M3,$A$2:$A$417,0))="","",O3-INDEX($O$2:$O$417,MATCH($M3,$A$2:$A$417,0))),IF(Q3&lt;&gt;"",IF(INDEX($Q$2:$Q$417,MATCH($M3,$A$2:$A$417,0))="","",Q3-INDEX($Q$2:$Q$417,MATCH($M3,$A$2:$A$417,0))),"")))),"")</f>
        <v/>
      </c>
      <c r="O3" s="16" t="n"/>
      <c r="P3" s="16" t="n"/>
      <c r="Q3" s="16" t="n"/>
      <c r="R3" s="16" t="n"/>
      <c r="S3" s="16" t="n"/>
      <c r="T3" s="16" t="n"/>
      <c r="U3" s="16" t="n"/>
      <c r="V3" s="16" t="n"/>
      <c r="W3" s="16" t="n"/>
      <c r="X3" s="16" t="n"/>
      <c r="Y3" s="20" t="n"/>
      <c r="Z3" s="20" t="n"/>
      <c r="AA3" s="16" t="n"/>
      <c r="AB3" s="21" t="inlineStr">
        <is>
          <t>threshold -1 (rank only, no abstention)</t>
        </is>
      </c>
      <c r="AC3" s="21" t="n"/>
    </row>
    <row r="4" ht="28" customHeight="1">
      <c r="A4" s="2" t="inlineStr">
        <is>
          <t>R1.3</t>
        </is>
      </c>
      <c r="B4" s="3" t="n">
        <v>46254</v>
      </c>
      <c r="C4" s="2" t="inlineStr">
        <is>
          <t>sensitive</t>
        </is>
      </c>
      <c r="D4" s="2" t="inlineStr">
        <is>
          <t>sensitive-ettin17-dualjudge-v1</t>
        </is>
      </c>
      <c r="E4" s="2" t="inlineStr">
        <is>
          <t>holdout20k</t>
        </is>
      </c>
      <c r="F4" s="4" t="inlineStr">
        <is>
          <t>T1</t>
        </is>
      </c>
      <c r="G4" s="5" t="n">
        <v>20000</v>
      </c>
      <c r="H4" s="6" t="n">
        <v>0.7589140497935692</v>
      </c>
      <c r="I4" s="6" t="n">
        <v>0.7179782309520831</v>
      </c>
      <c r="J4" s="6" t="n">
        <v>0.3911922932565995</v>
      </c>
      <c r="K4" s="7">
        <f>IF(OR(L4="",L4=0),"",1000/L4)</f>
        <v/>
      </c>
      <c r="L4" s="8" t="n">
        <v>1.545</v>
      </c>
      <c r="M4" s="4" t="n"/>
      <c r="N4" s="9">
        <f>IFERROR(IF(P4&lt;&gt;"",IF(INDEX($P$2:$P$417,MATCH($M4,$A$2:$A$417,0))="","",P4-INDEX($P$2:$P$417,MATCH($M4,$A$2:$A$417,0))),IF(H4&lt;&gt;"",IF(INDEX($H$2:$H$417,MATCH($M4,$A$2:$A$417,0))="","",H4-INDEX($H$2:$H$417,MATCH($M4,$A$2:$A$417,0))),IF(O4&lt;&gt;"",IF(INDEX($O$2:$O$417,MATCH($M4,$A$2:$A$417,0))="","",O4-INDEX($O$2:$O$417,MATCH($M4,$A$2:$A$417,0))),IF(Q4&lt;&gt;"",IF(INDEX($Q$2:$Q$417,MATCH($M4,$A$2:$A$417,0))="","",Q4-INDEX($Q$2:$Q$417,MATCH($M4,$A$2:$A$417,0))),"")))),"")</f>
        <v/>
      </c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10" t="n"/>
      <c r="Z4" s="10" t="n"/>
      <c r="AA4" s="6" t="n"/>
      <c r="AB4" s="11" t="inlineStr">
        <is>
          <t>threshold 0.1</t>
        </is>
      </c>
      <c r="AC4" s="11" t="n"/>
    </row>
    <row r="5" ht="28" customHeight="1">
      <c r="A5" s="12" t="inlineStr">
        <is>
          <t>R1.4</t>
        </is>
      </c>
      <c r="B5" s="13" t="n">
        <v>46254</v>
      </c>
      <c r="C5" s="12" t="inlineStr">
        <is>
          <t>sensitive</t>
        </is>
      </c>
      <c r="D5" s="12" t="inlineStr">
        <is>
          <t>sensitive-ettin17-dualjudge-v1</t>
        </is>
      </c>
      <c r="E5" s="12" t="inlineStr">
        <is>
          <t>holdout20k</t>
        </is>
      </c>
      <c r="F5" s="14" t="inlineStr">
        <is>
          <t>T1</t>
        </is>
      </c>
      <c r="G5" s="15" t="n">
        <v>20000</v>
      </c>
      <c r="H5" s="16" t="n">
        <v>0.7090835931998793</v>
      </c>
      <c r="I5" s="16" t="n">
        <v>0.6902726083894981</v>
      </c>
      <c r="J5" s="16" t="n">
        <v>0.3914093149582537</v>
      </c>
      <c r="K5" s="17">
        <f>IF(OR(L5="",L5=0),"",1000/L5)</f>
        <v/>
      </c>
      <c r="L5" s="18" t="n">
        <v>1.545</v>
      </c>
      <c r="M5" s="14" t="n"/>
      <c r="N5" s="19">
        <f>IFERROR(IF(P5&lt;&gt;"",IF(INDEX($P$2:$P$417,MATCH($M5,$A$2:$A$417,0))="","",P5-INDEX($P$2:$P$417,MATCH($M5,$A$2:$A$417,0))),IF(H5&lt;&gt;"",IF(INDEX($H$2:$H$417,MATCH($M5,$A$2:$A$417,0))="","",H5-INDEX($H$2:$H$417,MATCH($M5,$A$2:$A$417,0))),IF(O5&lt;&gt;"",IF(INDEX($O$2:$O$417,MATCH($M5,$A$2:$A$417,0))="","",O5-INDEX($O$2:$O$417,MATCH($M5,$A$2:$A$417,0))),IF(Q5&lt;&gt;"",IF(INDEX($Q$2:$Q$417,MATCH($M5,$A$2:$A$417,0))="","",Q5-INDEX($Q$2:$Q$417,MATCH($M5,$A$2:$A$417,0))),"")))),"")</f>
        <v/>
      </c>
      <c r="O5" s="16" t="n"/>
      <c r="P5" s="16" t="n"/>
      <c r="Q5" s="16" t="n"/>
      <c r="R5" s="16" t="n"/>
      <c r="S5" s="16" t="n"/>
      <c r="T5" s="16" t="n"/>
      <c r="U5" s="16" t="n"/>
      <c r="V5" s="16" t="n"/>
      <c r="W5" s="16" t="n"/>
      <c r="X5" s="16" t="n"/>
      <c r="Y5" s="20" t="n"/>
      <c r="Z5" s="20" t="n"/>
      <c r="AA5" s="16" t="n"/>
      <c r="AB5" s="21" t="inlineStr">
        <is>
          <t>threshold 0.2</t>
        </is>
      </c>
      <c r="AC5" s="21" t="n"/>
    </row>
    <row r="6" ht="28" customHeight="1">
      <c r="A6" s="2" t="inlineStr">
        <is>
          <t>R1.5</t>
        </is>
      </c>
      <c r="B6" s="3" t="n">
        <v>46254</v>
      </c>
      <c r="C6" s="2" t="inlineStr">
        <is>
          <t>sensitive</t>
        </is>
      </c>
      <c r="D6" s="2" t="inlineStr">
        <is>
          <t>sensitive-ettin17-dualjudge-v1</t>
        </is>
      </c>
      <c r="E6" s="2" t="inlineStr">
        <is>
          <t>holdout20k</t>
        </is>
      </c>
      <c r="F6" s="4" t="inlineStr">
        <is>
          <t>T1</t>
        </is>
      </c>
      <c r="G6" s="5" t="n">
        <v>20000</v>
      </c>
      <c r="H6" s="6" t="n">
        <v>0.6649783848770879</v>
      </c>
      <c r="I6" s="6" t="n">
        <v>0.6562300156038166</v>
      </c>
      <c r="J6" s="6" t="n">
        <v>0.3908116542603535</v>
      </c>
      <c r="K6" s="7">
        <f>IF(OR(L6="",L6=0),"",1000/L6)</f>
        <v/>
      </c>
      <c r="L6" s="8" t="n">
        <v>1.545</v>
      </c>
      <c r="M6" s="4" t="n"/>
      <c r="N6" s="9">
        <f>IFERROR(IF(P6&lt;&gt;"",IF(INDEX($P$2:$P$417,MATCH($M6,$A$2:$A$417,0))="","",P6-INDEX($P$2:$P$417,MATCH($M6,$A$2:$A$417,0))),IF(H6&lt;&gt;"",IF(INDEX($H$2:$H$417,MATCH($M6,$A$2:$A$417,0))="","",H6-INDEX($H$2:$H$417,MATCH($M6,$A$2:$A$417,0))),IF(O6&lt;&gt;"",IF(INDEX($O$2:$O$417,MATCH($M6,$A$2:$A$417,0))="","",O6-INDEX($O$2:$O$417,MATCH($M6,$A$2:$A$417,0))),IF(Q6&lt;&gt;"",IF(INDEX($Q$2:$Q$417,MATCH($M6,$A$2:$A$417,0))="","",Q6-INDEX($Q$2:$Q$417,MATCH($M6,$A$2:$A$417,0))),"")))),"")</f>
        <v/>
      </c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10" t="n"/>
      <c r="Z6" s="10" t="n"/>
      <c r="AA6" s="6" t="n"/>
      <c r="AB6" s="11" t="inlineStr">
        <is>
          <t>threshold 0.3</t>
        </is>
      </c>
      <c r="AC6" s="11" t="n"/>
    </row>
    <row r="7" ht="28" customHeight="1">
      <c r="A7" s="12" t="inlineStr">
        <is>
          <t>R1.6</t>
        </is>
      </c>
      <c r="B7" s="13" t="n">
        <v>46254</v>
      </c>
      <c r="C7" s="12" t="inlineStr">
        <is>
          <t>sensitive</t>
        </is>
      </c>
      <c r="D7" s="12" t="inlineStr">
        <is>
          <t>sensitive-ettin17-dualjudge-v1</t>
        </is>
      </c>
      <c r="E7" s="12" t="inlineStr">
        <is>
          <t>holdout20k</t>
        </is>
      </c>
      <c r="F7" s="14" t="inlineStr">
        <is>
          <t>T1</t>
        </is>
      </c>
      <c r="G7" s="15" t="n">
        <v>20000</v>
      </c>
      <c r="H7" s="16" t="n">
        <v>0.6126044845429217</v>
      </c>
      <c r="I7" s="16" t="n">
        <v>0.609048693113971</v>
      </c>
      <c r="J7" s="16" t="n">
        <v>0.3854584052010083</v>
      </c>
      <c r="K7" s="17">
        <f>IF(OR(L7="",L7=0),"",1000/L7)</f>
        <v/>
      </c>
      <c r="L7" s="18" t="n">
        <v>1.545</v>
      </c>
      <c r="M7" s="14" t="n"/>
      <c r="N7" s="19">
        <f>IFERROR(IF(P7&lt;&gt;"",IF(INDEX($P$2:$P$417,MATCH($M7,$A$2:$A$417,0))="","",P7-INDEX($P$2:$P$417,MATCH($M7,$A$2:$A$417,0))),IF(H7&lt;&gt;"",IF(INDEX($H$2:$H$417,MATCH($M7,$A$2:$A$417,0))="","",H7-INDEX($H$2:$H$417,MATCH($M7,$A$2:$A$417,0))),IF(O7&lt;&gt;"",IF(INDEX($O$2:$O$417,MATCH($M7,$A$2:$A$417,0))="","",O7-INDEX($O$2:$O$417,MATCH($M7,$A$2:$A$417,0))),IF(Q7&lt;&gt;"",IF(INDEX($Q$2:$Q$417,MATCH($M7,$A$2:$A$417,0))="","",Q7-INDEX($Q$2:$Q$417,MATCH($M7,$A$2:$A$417,0))),"")))),"")</f>
        <v/>
      </c>
      <c r="O7" s="16" t="n"/>
      <c r="P7" s="16" t="n"/>
      <c r="Q7" s="16" t="n"/>
      <c r="R7" s="16" t="n"/>
      <c r="S7" s="16" t="n"/>
      <c r="T7" s="16" t="n"/>
      <c r="U7" s="16" t="n"/>
      <c r="V7" s="16" t="n"/>
      <c r="W7" s="16" t="n"/>
      <c r="X7" s="16" t="n"/>
      <c r="Y7" s="20" t="n"/>
      <c r="Z7" s="20" t="n"/>
      <c r="AA7" s="16" t="n"/>
      <c r="AB7" s="21" t="inlineStr">
        <is>
          <t>threshold 0.4</t>
        </is>
      </c>
      <c r="AC7" s="21" t="n"/>
    </row>
    <row r="8" ht="28" customHeight="1">
      <c r="A8" s="2" t="inlineStr">
        <is>
          <t>R1.7</t>
        </is>
      </c>
      <c r="B8" s="3" t="n">
        <v>46254</v>
      </c>
      <c r="C8" s="2" t="inlineStr">
        <is>
          <t>sensitive</t>
        </is>
      </c>
      <c r="D8" s="2" t="inlineStr">
        <is>
          <t>sensitive-ettin17-dualjudge-v1</t>
        </is>
      </c>
      <c r="E8" s="2" t="inlineStr">
        <is>
          <t>holdout20k</t>
        </is>
      </c>
      <c r="F8" s="4" t="inlineStr">
        <is>
          <t>T1</t>
        </is>
      </c>
      <c r="G8" s="5" t="n">
        <v>20000</v>
      </c>
      <c r="H8" s="6" t="n">
        <v>0.5389361999162363</v>
      </c>
      <c r="I8" s="6" t="n">
        <v>0.538210247103169</v>
      </c>
      <c r="J8" s="6" t="n">
        <v>0.3680022337009633</v>
      </c>
      <c r="K8" s="7">
        <f>IF(OR(L8="",L8=0),"",1000/L8)</f>
        <v/>
      </c>
      <c r="L8" s="8" t="n">
        <v>1.545</v>
      </c>
      <c r="M8" s="4" t="n"/>
      <c r="N8" s="9">
        <f>IFERROR(IF(P8&lt;&gt;"",IF(INDEX($P$2:$P$417,MATCH($M8,$A$2:$A$417,0))="","",P8-INDEX($P$2:$P$417,MATCH($M8,$A$2:$A$417,0))),IF(H8&lt;&gt;"",IF(INDEX($H$2:$H$417,MATCH($M8,$A$2:$A$417,0))="","",H8-INDEX($H$2:$H$417,MATCH($M8,$A$2:$A$417,0))),IF(O8&lt;&gt;"",IF(INDEX($O$2:$O$417,MATCH($M8,$A$2:$A$417,0))="","",O8-INDEX($O$2:$O$417,MATCH($M8,$A$2:$A$417,0))),IF(Q8&lt;&gt;"",IF(INDEX($Q$2:$Q$417,MATCH($M8,$A$2:$A$417,0))="","",Q8-INDEX($Q$2:$Q$417,MATCH($M8,$A$2:$A$417,0))),"")))),"")</f>
        <v/>
      </c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10" t="n"/>
      <c r="Z8" s="10" t="n"/>
      <c r="AA8" s="6" t="n"/>
      <c r="AB8" s="11" t="inlineStr">
        <is>
          <t>shipped operating point, threshold 0.50</t>
        </is>
      </c>
      <c r="AC8" s="11" t="inlineStr">
        <is>
          <t>baseline: the shipped model, unchanged</t>
        </is>
      </c>
    </row>
    <row r="9" ht="28" customHeight="1">
      <c r="A9" s="12" t="inlineStr">
        <is>
          <t>R1.8</t>
        </is>
      </c>
      <c r="B9" s="13" t="n">
        <v>46254</v>
      </c>
      <c r="C9" s="12" t="inlineStr">
        <is>
          <t>sensitive</t>
        </is>
      </c>
      <c r="D9" s="12" t="inlineStr">
        <is>
          <t>sensitive-ettin17-dualjudge-v1</t>
        </is>
      </c>
      <c r="E9" s="12" t="inlineStr">
        <is>
          <t>holdout20k</t>
        </is>
      </c>
      <c r="F9" s="14" t="inlineStr">
        <is>
          <t>T1</t>
        </is>
      </c>
      <c r="G9" s="15" t="n">
        <v>20000</v>
      </c>
      <c r="H9" s="16" t="n">
        <v>0.4450402144772118</v>
      </c>
      <c r="I9" s="16" t="n">
        <v>0.4448019064641049</v>
      </c>
      <c r="J9" s="16" t="n">
        <v>0.3361930294906166</v>
      </c>
      <c r="K9" s="17">
        <f>IF(OR(L9="",L9=0),"",1000/L9)</f>
        <v/>
      </c>
      <c r="L9" s="18" t="n">
        <v>1.545</v>
      </c>
      <c r="M9" s="14" t="n"/>
      <c r="N9" s="19">
        <f>IFERROR(IF(P9&lt;&gt;"",IF(INDEX($P$2:$P$417,MATCH($M9,$A$2:$A$417,0))="","",P9-INDEX($P$2:$P$417,MATCH($M9,$A$2:$A$417,0))),IF(H9&lt;&gt;"",IF(INDEX($H$2:$H$417,MATCH($M9,$A$2:$A$417,0))="","",H9-INDEX($H$2:$H$417,MATCH($M9,$A$2:$A$417,0))),IF(O9&lt;&gt;"",IF(INDEX($O$2:$O$417,MATCH($M9,$A$2:$A$417,0))="","",O9-INDEX($O$2:$O$417,MATCH($M9,$A$2:$A$417,0))),IF(Q9&lt;&gt;"",IF(INDEX($Q$2:$Q$417,MATCH($M9,$A$2:$A$417,0))="","",Q9-INDEX($Q$2:$Q$417,MATCH($M9,$A$2:$A$417,0))),"")))),"")</f>
        <v/>
      </c>
      <c r="O9" s="16" t="n"/>
      <c r="P9" s="16" t="n"/>
      <c r="Q9" s="16" t="n"/>
      <c r="R9" s="16" t="n"/>
      <c r="S9" s="16" t="n"/>
      <c r="T9" s="16" t="n"/>
      <c r="U9" s="16" t="n"/>
      <c r="V9" s="16" t="n"/>
      <c r="W9" s="16" t="n"/>
      <c r="X9" s="16" t="n"/>
      <c r="Y9" s="20" t="n"/>
      <c r="Z9" s="20" t="n"/>
      <c r="AA9" s="16" t="n"/>
      <c r="AB9" s="21" t="inlineStr">
        <is>
          <t>threshold 0.6</t>
        </is>
      </c>
      <c r="AC9" s="21" t="n"/>
    </row>
    <row r="10" ht="28" customHeight="1">
      <c r="A10" s="2" t="inlineStr">
        <is>
          <t>R1.9</t>
        </is>
      </c>
      <c r="B10" s="3" t="n">
        <v>46254</v>
      </c>
      <c r="C10" s="2" t="inlineStr">
        <is>
          <t>sensitive</t>
        </is>
      </c>
      <c r="D10" s="2" t="inlineStr">
        <is>
          <t>sensitive-ettin17-dualjudge-v1</t>
        </is>
      </c>
      <c r="E10" s="2" t="inlineStr">
        <is>
          <t>holdout20k</t>
        </is>
      </c>
      <c r="F10" s="4" t="inlineStr">
        <is>
          <t>T1</t>
        </is>
      </c>
      <c r="G10" s="5" t="n">
        <v>20000</v>
      </c>
      <c r="H10" s="6" t="n">
        <v>0.3413530877146978</v>
      </c>
      <c r="I10" s="6" t="n">
        <v>0.3413530877146978</v>
      </c>
      <c r="J10" s="6" t="n">
        <v>0.2821555001966697</v>
      </c>
      <c r="K10" s="7">
        <f>IF(OR(L10="",L10=0),"",1000/L10)</f>
        <v/>
      </c>
      <c r="L10" s="8" t="n">
        <v>1.545</v>
      </c>
      <c r="M10" s="4" t="n"/>
      <c r="N10" s="9">
        <f>IFERROR(IF(P10&lt;&gt;"",IF(INDEX($P$2:$P$417,MATCH($M10,$A$2:$A$417,0))="","",P10-INDEX($P$2:$P$417,MATCH($M10,$A$2:$A$417,0))),IF(H10&lt;&gt;"",IF(INDEX($H$2:$H$417,MATCH($M10,$A$2:$A$417,0))="","",H10-INDEX($H$2:$H$417,MATCH($M10,$A$2:$A$417,0))),IF(O10&lt;&gt;"",IF(INDEX($O$2:$O$417,MATCH($M10,$A$2:$A$417,0))="","",O10-INDEX($O$2:$O$417,MATCH($M10,$A$2:$A$417,0))),IF(Q10&lt;&gt;"",IF(INDEX($Q$2:$Q$417,MATCH($M10,$A$2:$A$417,0))="","",Q10-INDEX($Q$2:$Q$417,MATCH($M10,$A$2:$A$417,0))),"")))),"")</f>
        <v/>
      </c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10" t="n"/>
      <c r="Z10" s="10" t="n"/>
      <c r="AA10" s="6" t="n"/>
      <c r="AB10" s="11" t="inlineStr">
        <is>
          <t>threshold 0.7</t>
        </is>
      </c>
      <c r="AC10" s="11" t="n"/>
    </row>
    <row r="11" ht="28" customHeight="1">
      <c r="A11" s="12" t="inlineStr">
        <is>
          <t>R1.10</t>
        </is>
      </c>
      <c r="B11" s="13" t="n">
        <v>46254</v>
      </c>
      <c r="C11" s="12" t="inlineStr">
        <is>
          <t>sensitive</t>
        </is>
      </c>
      <c r="D11" s="12" t="inlineStr">
        <is>
          <t>sensitive-ettin17-dualjudge-v1</t>
        </is>
      </c>
      <c r="E11" s="12" t="inlineStr">
        <is>
          <t>holdout20k</t>
        </is>
      </c>
      <c r="F11" s="14" t="inlineStr">
        <is>
          <t>T1</t>
        </is>
      </c>
      <c r="G11" s="15" t="n">
        <v>20000</v>
      </c>
      <c r="H11" s="16" t="n">
        <v>0.2095504767670652</v>
      </c>
      <c r="I11" s="16" t="n">
        <v>0.2095504767670652</v>
      </c>
      <c r="J11" s="16" t="n">
        <v>0.188890570606932</v>
      </c>
      <c r="K11" s="17">
        <f>IF(OR(L11="",L11=0),"",1000/L11)</f>
        <v/>
      </c>
      <c r="L11" s="18" t="n">
        <v>1.545</v>
      </c>
      <c r="M11" s="14" t="n"/>
      <c r="N11" s="19">
        <f>IFERROR(IF(P11&lt;&gt;"",IF(INDEX($P$2:$P$417,MATCH($M11,$A$2:$A$417,0))="","",P11-INDEX($P$2:$P$417,MATCH($M11,$A$2:$A$417,0))),IF(H11&lt;&gt;"",IF(INDEX($H$2:$H$417,MATCH($M11,$A$2:$A$417,0))="","",H11-INDEX($H$2:$H$417,MATCH($M11,$A$2:$A$417,0))),IF(O11&lt;&gt;"",IF(INDEX($O$2:$O$417,MATCH($M11,$A$2:$A$417,0))="","",O11-INDEX($O$2:$O$417,MATCH($M11,$A$2:$A$417,0))),IF(Q11&lt;&gt;"",IF(INDEX($Q$2:$Q$417,MATCH($M11,$A$2:$A$417,0))="","",Q11-INDEX($Q$2:$Q$417,MATCH($M11,$A$2:$A$417,0))),"")))),"")</f>
        <v/>
      </c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20" t="n"/>
      <c r="Z11" s="20" t="n"/>
      <c r="AA11" s="16" t="n"/>
      <c r="AB11" s="21" t="inlineStr">
        <is>
          <t>threshold 0.8</t>
        </is>
      </c>
      <c r="AC11" s="21" t="n"/>
    </row>
    <row r="12" ht="28" customHeight="1">
      <c r="A12" s="2" t="inlineStr">
        <is>
          <t>R1.11</t>
        </is>
      </c>
      <c r="B12" s="3" t="n">
        <v>46254</v>
      </c>
      <c r="C12" s="2" t="inlineStr">
        <is>
          <t>sensitive</t>
        </is>
      </c>
      <c r="D12" s="2" t="inlineStr">
        <is>
          <t>sensitive-ettin17-dualjudge-v1</t>
        </is>
      </c>
      <c r="E12" s="2" t="inlineStr">
        <is>
          <t>holdout20k</t>
        </is>
      </c>
      <c r="F12" s="4" t="inlineStr">
        <is>
          <t>T1</t>
        </is>
      </c>
      <c r="G12" s="5" t="n">
        <v>20000</v>
      </c>
      <c r="H12" s="6" t="n">
        <v>0.0485521545592217</v>
      </c>
      <c r="I12" s="6" t="n">
        <v>0.0485521545592217</v>
      </c>
      <c r="J12" s="6" t="n">
        <v>0.04809324950667707</v>
      </c>
      <c r="K12" s="7">
        <f>IF(OR(L12="",L12=0),"",1000/L12)</f>
        <v/>
      </c>
      <c r="L12" s="8" t="n">
        <v>1.545</v>
      </c>
      <c r="M12" s="4" t="n"/>
      <c r="N12" s="9">
        <f>IFERROR(IF(P12&lt;&gt;"",IF(INDEX($P$2:$P$417,MATCH($M12,$A$2:$A$417,0))="","",P12-INDEX($P$2:$P$417,MATCH($M12,$A$2:$A$417,0))),IF(H12&lt;&gt;"",IF(INDEX($H$2:$H$417,MATCH($M12,$A$2:$A$417,0))="","",H12-INDEX($H$2:$H$417,MATCH($M12,$A$2:$A$417,0))),IF(O12&lt;&gt;"",IF(INDEX($O$2:$O$417,MATCH($M12,$A$2:$A$417,0))="","",O12-INDEX($O$2:$O$417,MATCH($M12,$A$2:$A$417,0))),IF(Q12&lt;&gt;"",IF(INDEX($Q$2:$Q$417,MATCH($M12,$A$2:$A$417,0))="","",Q12-INDEX($Q$2:$Q$417,MATCH($M12,$A$2:$A$417,0))),"")))),"")</f>
        <v/>
      </c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10" t="n"/>
      <c r="Z12" s="10" t="n"/>
      <c r="AA12" s="6" t="n"/>
      <c r="AB12" s="11" t="inlineStr">
        <is>
          <t>threshold 0.9</t>
        </is>
      </c>
      <c r="AC12" s="11" t="n"/>
    </row>
    <row r="13" ht="28" customHeight="1">
      <c r="A13" s="12" t="inlineStr">
        <is>
          <t>R1.12</t>
        </is>
      </c>
      <c r="B13" s="13" t="n">
        <v>46254</v>
      </c>
      <c r="C13" s="12" t="inlineStr">
        <is>
          <t>sensitive</t>
        </is>
      </c>
      <c r="D13" s="12" t="inlineStr">
        <is>
          <t>control_most_frequent_5</t>
        </is>
      </c>
      <c r="E13" s="12" t="inlineStr">
        <is>
          <t>test100k</t>
        </is>
      </c>
      <c r="F13" s="14" t="inlineStr">
        <is>
          <t>T1</t>
        </is>
      </c>
      <c r="G13" s="15" t="n">
        <v>0</v>
      </c>
      <c r="H13" s="16" t="n">
        <v>0.7779</v>
      </c>
      <c r="I13" s="16" t="n">
        <v>0.7595</v>
      </c>
      <c r="J13" s="16" t="n">
        <v>0.5604</v>
      </c>
      <c r="K13" s="17" t="n"/>
      <c r="L13" s="18" t="n"/>
      <c r="M13" s="14" t="n"/>
      <c r="N13" s="19">
        <f>IFERROR(IF(P13&lt;&gt;"",IF(INDEX($P$2:$P$417,MATCH($M13,$A$2:$A$417,0))="","",P13-INDEX($P$2:$P$417,MATCH($M13,$A$2:$A$417,0))),IF(H13&lt;&gt;"",IF(INDEX($H$2:$H$417,MATCH($M13,$A$2:$A$417,0))="","",H13-INDEX($H$2:$H$417,MATCH($M13,$A$2:$A$417,0))),IF(O13&lt;&gt;"",IF(INDEX($O$2:$O$417,MATCH($M13,$A$2:$A$417,0))="","",O13-INDEX($O$2:$O$417,MATCH($M13,$A$2:$A$417,0))),IF(Q13&lt;&gt;"",IF(INDEX($Q$2:$Q$417,MATCH($M13,$A$2:$A$417,0))="","",Q13-INDEX($Q$2:$Q$417,MATCH($M13,$A$2:$A$417,0))),"")))),"")</f>
        <v/>
      </c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20" t="n"/>
      <c r="Z13" s="20" t="n"/>
      <c r="AA13" s="16" t="n"/>
      <c r="AB13" s="21" t="inlineStr">
        <is>
          <t>control: always emit the 5 most frequent train tags (sensitive_pii_email, sensitive_pii_phone_number, sensitive_pii_given_name, sensitive_pii_zip_code, sensitive_pii_family_name)</t>
        </is>
      </c>
      <c r="AC13" s="21" t="inlineStr">
        <is>
          <t>floor for the metric, not a model</t>
        </is>
      </c>
    </row>
    <row r="14" ht="28" customHeight="1">
      <c r="A14" s="2" t="inlineStr">
        <is>
          <t>R1.13</t>
        </is>
      </c>
      <c r="B14" s="3" t="n">
        <v>46254</v>
      </c>
      <c r="C14" s="2" t="inlineStr">
        <is>
          <t>sensitive</t>
        </is>
      </c>
      <c r="D14" s="2" t="inlineStr">
        <is>
          <t>sensitive-ettin17-dualjudge-v1</t>
        </is>
      </c>
      <c r="E14" s="2" t="inlineStr">
        <is>
          <t>test100k</t>
        </is>
      </c>
      <c r="F14" s="4" t="inlineStr">
        <is>
          <t>T1</t>
        </is>
      </c>
      <c r="G14" s="5" t="n">
        <v>20000</v>
      </c>
      <c r="H14" s="6" t="n">
        <v>0.5380018986988329</v>
      </c>
      <c r="I14" s="6" t="n">
        <v>0.5367733288658068</v>
      </c>
      <c r="J14" s="6" t="n">
        <v>0.3693527670743285</v>
      </c>
      <c r="K14" s="7">
        <f>IF(OR(L14="",L14=0),"",1000/L14)</f>
        <v/>
      </c>
      <c r="L14" s="8" t="n">
        <v>1.545</v>
      </c>
      <c r="M14" s="4" t="n"/>
      <c r="N14" s="9">
        <f>IFERROR(IF(P14&lt;&gt;"",IF(INDEX($P$2:$P$417,MATCH($M14,$A$2:$A$417,0))="","",P14-INDEX($P$2:$P$417,MATCH($M14,$A$2:$A$417,0))),IF(H14&lt;&gt;"",IF(INDEX($H$2:$H$417,MATCH($M14,$A$2:$A$417,0))="","",H14-INDEX($H$2:$H$417,MATCH($M14,$A$2:$A$417,0))),IF(O14&lt;&gt;"",IF(INDEX($O$2:$O$417,MATCH($M14,$A$2:$A$417,0))="","",O14-INDEX($O$2:$O$417,MATCH($M14,$A$2:$A$417,0))),IF(Q14&lt;&gt;"",IF(INDEX($Q$2:$Q$417,MATCH($M14,$A$2:$A$417,0))="","",Q14-INDEX($Q$2:$Q$417,MATCH($M14,$A$2:$A$417,0))),"")))),"")</f>
        <v/>
      </c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10" t="n"/>
      <c r="Z14" s="10" t="n"/>
      <c r="AA14" s="6" t="n"/>
      <c r="AB14" s="11" t="inlineStr">
        <is>
          <t>shipped operating point, threshold 0.50</t>
        </is>
      </c>
      <c r="AC14" s="11" t="inlineStr">
        <is>
          <t>baseline: the shipped model, unchanged</t>
        </is>
      </c>
    </row>
    <row r="15" ht="28" customHeight="1">
      <c r="A15" s="12" t="inlineStr">
        <is>
          <t>R1.14</t>
        </is>
      </c>
      <c r="B15" s="13" t="n">
        <v>46254</v>
      </c>
      <c r="C15" s="12" t="inlineStr">
        <is>
          <t>sensitive</t>
        </is>
      </c>
      <c r="D15" s="12" t="inlineStr">
        <is>
          <t>sensitive-ettin17-dualjudge-v1</t>
        </is>
      </c>
      <c r="E15" s="12" t="inlineStr">
        <is>
          <t>val100k</t>
        </is>
      </c>
      <c r="F15" s="14" t="inlineStr">
        <is>
          <t>T1</t>
        </is>
      </c>
      <c r="G15" s="15" t="n">
        <v>20000</v>
      </c>
      <c r="H15" s="16" t="n">
        <v>0.5410412365381396</v>
      </c>
      <c r="I15" s="16" t="n">
        <v>0.5400368283019921</v>
      </c>
      <c r="J15" s="16" t="n">
        <v>0.3764298867250712</v>
      </c>
      <c r="K15" s="17">
        <f>IF(OR(L15="",L15=0),"",1000/L15)</f>
        <v/>
      </c>
      <c r="L15" s="18" t="n">
        <v>1.545</v>
      </c>
      <c r="M15" s="14" t="n"/>
      <c r="N15" s="19">
        <f>IFERROR(IF(P15&lt;&gt;"",IF(INDEX($P$2:$P$417,MATCH($M15,$A$2:$A$417,0))="","",P15-INDEX($P$2:$P$417,MATCH($M15,$A$2:$A$417,0))),IF(H15&lt;&gt;"",IF(INDEX($H$2:$H$417,MATCH($M15,$A$2:$A$417,0))="","",H15-INDEX($H$2:$H$417,MATCH($M15,$A$2:$A$417,0))),IF(O15&lt;&gt;"",IF(INDEX($O$2:$O$417,MATCH($M15,$A$2:$A$417,0))="","",O15-INDEX($O$2:$O$417,MATCH($M15,$A$2:$A$417,0))),IF(Q15&lt;&gt;"",IF(INDEX($Q$2:$Q$417,MATCH($M15,$A$2:$A$417,0))="","",Q15-INDEX($Q$2:$Q$417,MATCH($M15,$A$2:$A$417,0))),"")))),"")</f>
        <v/>
      </c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20" t="n"/>
      <c r="Z15" s="20" t="n"/>
      <c r="AA15" s="16" t="n"/>
      <c r="AB15" s="21" t="inlineStr">
        <is>
          <t>shipped operating point, threshold 0.50</t>
        </is>
      </c>
      <c r="AC15" s="21" t="inlineStr">
        <is>
          <t>baseline: the shipped model, unchanged</t>
        </is>
      </c>
    </row>
    <row r="16" ht="28" customHeight="1">
      <c r="A16" s="2" t="inlineStr">
        <is>
          <t>R1.15</t>
        </is>
      </c>
      <c r="B16" s="3" t="n">
        <v>46254</v>
      </c>
      <c r="C16" s="2" t="inlineStr">
        <is>
          <t>sensitive</t>
        </is>
      </c>
      <c r="D16" s="2" t="inlineStr">
        <is>
          <t>ettin17_m2v_frozen + head refit on 100k (cached)</t>
        </is>
      </c>
      <c r="E16" s="2" t="inlineStr">
        <is>
          <t>holdout20k</t>
        </is>
      </c>
      <c r="F16" s="4" t="inlineStr">
        <is>
          <t>T1</t>
        </is>
      </c>
      <c r="G16" s="5" t="n">
        <v>20000</v>
      </c>
      <c r="H16" s="6" t="n">
        <v>0.97255</v>
      </c>
      <c r="I16" s="6" t="n">
        <v>0.9517</v>
      </c>
      <c r="J16" s="6" t="n">
        <v>0.887</v>
      </c>
      <c r="K16" s="7">
        <f>IF(OR(L16="",L16=0),"",1000/L16)</f>
        <v/>
      </c>
      <c r="L16" s="8" t="n">
        <v>1.492</v>
      </c>
      <c r="M16" s="4" t="inlineStr">
        <is>
          <t>R1.198</t>
        </is>
      </c>
      <c r="N16" s="9">
        <f>IFERROR(IF(P16&lt;&gt;"",IF(INDEX($P$2:$P$417,MATCH($M16,$A$2:$A$417,0))="","",P16-INDEX($P$2:$P$417,MATCH($M16,$A$2:$A$417,0))),IF(H16&lt;&gt;"",IF(INDEX($H$2:$H$417,MATCH($M16,$A$2:$A$417,0))="","",H16-INDEX($H$2:$H$417,MATCH($M16,$A$2:$A$417,0))),IF(O16&lt;&gt;"",IF(INDEX($O$2:$O$417,MATCH($M16,$A$2:$A$417,0))="","",O16-INDEX($O$2:$O$417,MATCH($M16,$A$2:$A$417,0))),IF(Q16&lt;&gt;"",IF(INDEX($Q$2:$Q$417,MATCH($M16,$A$2:$A$417,0))="","",Q16-INDEX($Q$2:$Q$417,MATCH($M16,$A$2:$A$417,0))),"")))),"")</f>
        <v/>
      </c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10" t="n"/>
      <c r="Z16" s="10" t="n"/>
      <c r="AA16" s="6" t="n"/>
      <c r="AB16" s="11" t="inlineStr">
        <is>
          <t>head refit on pii_trainset_100k train split (75085 rows after hash-dedup), 59 classes, cached trainer, threshold -1 chosen on val</t>
        </is>
      </c>
      <c r="AC16" s="11" t="n"/>
    </row>
    <row r="17" ht="28" customHeight="1">
      <c r="A17" s="12" t="inlineStr">
        <is>
          <t>R1.16</t>
        </is>
      </c>
      <c r="B17" s="13" t="n">
        <v>46254</v>
      </c>
      <c r="C17" s="12" t="inlineStr">
        <is>
          <t>sensitive</t>
        </is>
      </c>
      <c r="D17" s="12" t="inlineStr">
        <is>
          <t>ettin17_m2v_frozen + head refit on 100k (native)</t>
        </is>
      </c>
      <c r="E17" s="12" t="inlineStr">
        <is>
          <t>holdout20k</t>
        </is>
      </c>
      <c r="F17" s="14" t="inlineStr">
        <is>
          <t>T1</t>
        </is>
      </c>
      <c r="G17" s="15" t="n">
        <v>20000</v>
      </c>
      <c r="H17" s="16" t="n">
        <v>0.9919</v>
      </c>
      <c r="I17" s="16" t="n">
        <v>0.98565</v>
      </c>
      <c r="J17" s="16" t="n">
        <v>0.9537</v>
      </c>
      <c r="K17" s="17">
        <f>IF(OR(L17="",L17=0),"",1000/L17)</f>
        <v/>
      </c>
      <c r="L17" s="18" t="n">
        <v>1.356</v>
      </c>
      <c r="M17" s="14" t="inlineStr">
        <is>
          <t>R1.198</t>
        </is>
      </c>
      <c r="N17" s="19">
        <f>IFERROR(IF(P17&lt;&gt;"",IF(INDEX($P$2:$P$417,MATCH($M17,$A$2:$A$417,0))="","",P17-INDEX($P$2:$P$417,MATCH($M17,$A$2:$A$417,0))),IF(H17&lt;&gt;"",IF(INDEX($H$2:$H$417,MATCH($M17,$A$2:$A$417,0))="","",H17-INDEX($H$2:$H$417,MATCH($M17,$A$2:$A$417,0))),IF(O17&lt;&gt;"",IF(INDEX($O$2:$O$417,MATCH($M17,$A$2:$A$417,0))="","",O17-INDEX($O$2:$O$417,MATCH($M17,$A$2:$A$417,0))),IF(Q17&lt;&gt;"",IF(INDEX($Q$2:$Q$417,MATCH($M17,$A$2:$A$417,0))="","",Q17-INDEX($Q$2:$Q$417,MATCH($M17,$A$2:$A$417,0))),"")))),"")</f>
        <v/>
      </c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20" t="n"/>
      <c r="Z17" s="20" t="n"/>
      <c r="AA17" s="16" t="n"/>
      <c r="AB17" s="21" t="inlineStr">
        <is>
          <t>head refit on pii_trainset_100k train split (75085 rows after hash-dedup), 59 classes, native trainer, threshold -1 chosen on val</t>
        </is>
      </c>
      <c r="AC17" s="21" t="n"/>
    </row>
    <row r="18" ht="28" customHeight="1">
      <c r="A18" s="2" t="inlineStr">
        <is>
          <t>R1.17</t>
        </is>
      </c>
      <c r="B18" s="3" t="n">
        <v>46254</v>
      </c>
      <c r="C18" s="2" t="inlineStr">
        <is>
          <t>sensitive</t>
        </is>
      </c>
      <c r="D18" s="2" t="inlineStr">
        <is>
          <t>ettin17_m2v_frozen + head refit on 100k (cached)</t>
        </is>
      </c>
      <c r="E18" s="2" t="inlineStr">
        <is>
          <t>test100k</t>
        </is>
      </c>
      <c r="F18" s="4" t="inlineStr">
        <is>
          <t>T1</t>
        </is>
      </c>
      <c r="G18" s="5" t="n">
        <v>20000</v>
      </c>
      <c r="H18" s="6" t="n">
        <v>0.9741</v>
      </c>
      <c r="I18" s="6" t="n">
        <v>0.9526</v>
      </c>
      <c r="J18" s="6" t="n">
        <v>0.8895999999999999</v>
      </c>
      <c r="K18" s="7">
        <f>IF(OR(L18="",L18=0),"",1000/L18)</f>
        <v/>
      </c>
      <c r="L18" s="8" t="n">
        <v>1.492</v>
      </c>
      <c r="M18" s="4" t="n"/>
      <c r="N18" s="9">
        <f>IFERROR(IF(P18&lt;&gt;"",IF(INDEX($P$2:$P$417,MATCH($M18,$A$2:$A$417,0))="","",P18-INDEX($P$2:$P$417,MATCH($M18,$A$2:$A$417,0))),IF(H18&lt;&gt;"",IF(INDEX($H$2:$H$417,MATCH($M18,$A$2:$A$417,0))="","",H18-INDEX($H$2:$H$417,MATCH($M18,$A$2:$A$417,0))),IF(O18&lt;&gt;"",IF(INDEX($O$2:$O$417,MATCH($M18,$A$2:$A$417,0))="","",O18-INDEX($O$2:$O$417,MATCH($M18,$A$2:$A$417,0))),IF(Q18&lt;&gt;"",IF(INDEX($Q$2:$Q$417,MATCH($M18,$A$2:$A$417,0))="","",Q18-INDEX($Q$2:$Q$417,MATCH($M18,$A$2:$A$417,0))),"")))),"")</f>
        <v/>
      </c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10" t="n"/>
      <c r="Z18" s="10" t="n"/>
      <c r="AA18" s="6" t="n"/>
      <c r="AB18" s="11" t="inlineStr">
        <is>
          <t>head refit on pii_trainset_100k train split (75085 rows after hash-dedup), 59 classes, cached trainer, threshold -1 chosen on val</t>
        </is>
      </c>
      <c r="AC18" s="11" t="n"/>
    </row>
    <row r="19" ht="28" customHeight="1">
      <c r="A19" s="12" t="inlineStr">
        <is>
          <t>R1.18</t>
        </is>
      </c>
      <c r="B19" s="13" t="n">
        <v>46254</v>
      </c>
      <c r="C19" s="12" t="inlineStr">
        <is>
          <t>sensitive</t>
        </is>
      </c>
      <c r="D19" s="12" t="inlineStr">
        <is>
          <t>ettin17_m2v_frozen + head refit on 100k (native)</t>
        </is>
      </c>
      <c r="E19" s="12" t="inlineStr">
        <is>
          <t>test100k</t>
        </is>
      </c>
      <c r="F19" s="14" t="inlineStr">
        <is>
          <t>T1</t>
        </is>
      </c>
      <c r="G19" s="15" t="n">
        <v>20000</v>
      </c>
      <c r="H19" s="16" t="n">
        <v>0.9923999999999999</v>
      </c>
      <c r="I19" s="16" t="n">
        <v>0.9871</v>
      </c>
      <c r="J19" s="16" t="n">
        <v>0.952</v>
      </c>
      <c r="K19" s="17">
        <f>IF(OR(L19="",L19=0),"",1000/L19)</f>
        <v/>
      </c>
      <c r="L19" s="18" t="n">
        <v>1.356</v>
      </c>
      <c r="M19" s="14" t="n"/>
      <c r="N19" s="19">
        <f>IFERROR(IF(P19&lt;&gt;"",IF(INDEX($P$2:$P$417,MATCH($M19,$A$2:$A$417,0))="","",P19-INDEX($P$2:$P$417,MATCH($M19,$A$2:$A$417,0))),IF(H19&lt;&gt;"",IF(INDEX($H$2:$H$417,MATCH($M19,$A$2:$A$417,0))="","",H19-INDEX($H$2:$H$417,MATCH($M19,$A$2:$A$417,0))),IF(O19&lt;&gt;"",IF(INDEX($O$2:$O$417,MATCH($M19,$A$2:$A$417,0))="","",O19-INDEX($O$2:$O$417,MATCH($M19,$A$2:$A$417,0))),IF(Q19&lt;&gt;"",IF(INDEX($Q$2:$Q$417,MATCH($M19,$A$2:$A$417,0))="","",Q19-INDEX($Q$2:$Q$417,MATCH($M19,$A$2:$A$417,0))),"")))),"")</f>
        <v/>
      </c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20" t="n"/>
      <c r="Z19" s="20" t="n"/>
      <c r="AA19" s="16" t="n"/>
      <c r="AB19" s="21" t="inlineStr">
        <is>
          <t>head refit on pii_trainset_100k train split (75085 rows after hash-dedup), 59 classes, native trainer, threshold -1 chosen on val</t>
        </is>
      </c>
      <c r="AC19" s="21" t="n"/>
    </row>
    <row r="20" ht="28" customHeight="1">
      <c r="A20" s="2" t="inlineStr">
        <is>
          <t>R1.19</t>
        </is>
      </c>
      <c r="B20" s="3" t="n">
        <v>46254</v>
      </c>
      <c r="C20" s="2" t="inlineStr">
        <is>
          <t>sensitive</t>
        </is>
      </c>
      <c r="D20" s="2" t="inlineStr">
        <is>
          <t>ettin17_m2v_frozen + head refit on 100k (cached)</t>
        </is>
      </c>
      <c r="E20" s="2" t="inlineStr">
        <is>
          <t>val100k</t>
        </is>
      </c>
      <c r="F20" s="4" t="inlineStr">
        <is>
          <t>T1</t>
        </is>
      </c>
      <c r="G20" s="5" t="n">
        <v>20000</v>
      </c>
      <c r="H20" s="6" t="n">
        <v>0.9713000000000001</v>
      </c>
      <c r="I20" s="6" t="n">
        <v>0.9506</v>
      </c>
      <c r="J20" s="6" t="n">
        <v>0.8823</v>
      </c>
      <c r="K20" s="7">
        <f>IF(OR(L20="",L20=0),"",1000/L20)</f>
        <v/>
      </c>
      <c r="L20" s="8" t="n">
        <v>1.492</v>
      </c>
      <c r="M20" s="4" t="n"/>
      <c r="N20" s="9">
        <f>IFERROR(IF(P20&lt;&gt;"",IF(INDEX($P$2:$P$417,MATCH($M20,$A$2:$A$417,0))="","",P20-INDEX($P$2:$P$417,MATCH($M20,$A$2:$A$417,0))),IF(H20&lt;&gt;"",IF(INDEX($H$2:$H$417,MATCH($M20,$A$2:$A$417,0))="","",H20-INDEX($H$2:$H$417,MATCH($M20,$A$2:$A$417,0))),IF(O20&lt;&gt;"",IF(INDEX($O$2:$O$417,MATCH($M20,$A$2:$A$417,0))="","",O20-INDEX($O$2:$O$417,MATCH($M20,$A$2:$A$417,0))),IF(Q20&lt;&gt;"",IF(INDEX($Q$2:$Q$417,MATCH($M20,$A$2:$A$417,0))="","",Q20-INDEX($Q$2:$Q$417,MATCH($M20,$A$2:$A$417,0))),"")))),"")</f>
        <v/>
      </c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10" t="n"/>
      <c r="Z20" s="10" t="n"/>
      <c r="AA20" s="6" t="n"/>
      <c r="AB20" s="11" t="inlineStr">
        <is>
          <t>head refit on pii_trainset_100k train split (75085 rows after hash-dedup), 59 classes, cached trainer, threshold -1 chosen on val</t>
        </is>
      </c>
      <c r="AC20" s="11" t="n"/>
    </row>
    <row r="21" ht="28" customHeight="1">
      <c r="A21" s="12" t="inlineStr">
        <is>
          <t>R1.20</t>
        </is>
      </c>
      <c r="B21" s="13" t="n">
        <v>46254</v>
      </c>
      <c r="C21" s="12" t="inlineStr">
        <is>
          <t>sensitive</t>
        </is>
      </c>
      <c r="D21" s="12" t="inlineStr">
        <is>
          <t>ettin17_m2v_frozen + head refit on 100k (native)</t>
        </is>
      </c>
      <c r="E21" s="12" t="inlineStr">
        <is>
          <t>val100k</t>
        </is>
      </c>
      <c r="F21" s="14" t="inlineStr">
        <is>
          <t>T1</t>
        </is>
      </c>
      <c r="G21" s="15" t="n">
        <v>20000</v>
      </c>
      <c r="H21" s="16" t="n">
        <v>0.9899</v>
      </c>
      <c r="I21" s="16" t="n">
        <v>0.9848</v>
      </c>
      <c r="J21" s="16" t="n">
        <v>0.9574</v>
      </c>
      <c r="K21" s="17">
        <f>IF(OR(L21="",L21=0),"",1000/L21)</f>
        <v/>
      </c>
      <c r="L21" s="18" t="n">
        <v>1.356</v>
      </c>
      <c r="M21" s="14" t="n"/>
      <c r="N21" s="19">
        <f>IFERROR(IF(P21&lt;&gt;"",IF(INDEX($P$2:$P$417,MATCH($M21,$A$2:$A$417,0))="","",P21-INDEX($P$2:$P$417,MATCH($M21,$A$2:$A$417,0))),IF(H21&lt;&gt;"",IF(INDEX($H$2:$H$417,MATCH($M21,$A$2:$A$417,0))="","",H21-INDEX($H$2:$H$417,MATCH($M21,$A$2:$A$417,0))),IF(O21&lt;&gt;"",IF(INDEX($O$2:$O$417,MATCH($M21,$A$2:$A$417,0))="","",O21-INDEX($O$2:$O$417,MATCH($M21,$A$2:$A$417,0))),IF(Q21&lt;&gt;"",IF(INDEX($Q$2:$Q$417,MATCH($M21,$A$2:$A$417,0))="","",Q21-INDEX($Q$2:$Q$417,MATCH($M21,$A$2:$A$417,0))),"")))),"")</f>
        <v/>
      </c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20" t="n"/>
      <c r="Z21" s="20" t="n"/>
      <c r="AA21" s="16" t="n"/>
      <c r="AB21" s="21" t="inlineStr">
        <is>
          <t>head refit on pii_trainset_100k train split (75085 rows after hash-dedup), 59 classes, native trainer, threshold -1 chosen on val</t>
        </is>
      </c>
      <c r="AC21" s="21" t="n"/>
    </row>
    <row r="22" ht="28" customHeight="1">
      <c r="A22" s="2" t="inlineStr">
        <is>
          <t>R1.21</t>
        </is>
      </c>
      <c r="B22" s="3" t="n">
        <v>46254</v>
      </c>
      <c r="C22" s="2" t="inlineStr">
        <is>
          <t>sensitive</t>
        </is>
      </c>
      <c r="D22" s="2" t="inlineStr">
        <is>
          <t>champion + standard head</t>
        </is>
      </c>
      <c r="E22" s="2" t="inlineStr">
        <is>
          <t>holdout20k</t>
        </is>
      </c>
      <c r="F22" s="4" t="inlineStr">
        <is>
          <t>T1</t>
        </is>
      </c>
      <c r="G22" s="5" t="n">
        <v>20000</v>
      </c>
      <c r="H22" s="6" t="n">
        <v>0.97255</v>
      </c>
      <c r="I22" s="6" t="n">
        <v>0.9517</v>
      </c>
      <c r="J22" s="6" t="n">
        <v>0.887</v>
      </c>
      <c r="K22" s="7">
        <f>IF(OR(L22="",L22=0),"",1000/L22)</f>
        <v/>
      </c>
      <c r="L22" s="8" t="n">
        <v>1.492</v>
      </c>
      <c r="M22" s="4" t="n"/>
      <c r="N22" s="9">
        <f>IFERROR(IF(P22&lt;&gt;"",IF(INDEX($P$2:$P$417,MATCH($M22,$A$2:$A$417,0))="","",P22-INDEX($P$2:$P$417,MATCH($M22,$A$2:$A$417,0))),IF(H22&lt;&gt;"",IF(INDEX($H$2:$H$417,MATCH($M22,$A$2:$A$417,0))="","",H22-INDEX($H$2:$H$417,MATCH($M22,$A$2:$A$417,0))),IF(O22&lt;&gt;"",IF(INDEX($O$2:$O$417,MATCH($M22,$A$2:$A$417,0))="","",O22-INDEX($O$2:$O$417,MATCH($M22,$A$2:$A$417,0))),IF(Q22&lt;&gt;"",IF(INDEX($Q$2:$Q$417,MATCH($M22,$A$2:$A$417,0))="","",Q22-INDEX($Q$2:$Q$417,MATCH($M22,$A$2:$A$417,0))),"")))),"")</f>
        <v/>
      </c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10" t="n"/>
      <c r="Z22" s="10" t="n"/>
      <c r="AA22" s="6" t="n"/>
      <c r="AB22" s="11" t="inlineStr">
        <is>
          <t>distillation variant champion: "shipped"; dim ?, vocab ?</t>
        </is>
      </c>
      <c r="AC22" s="11" t="n"/>
    </row>
    <row r="23" ht="28" customHeight="1">
      <c r="A23" s="12" t="inlineStr">
        <is>
          <t>R1.22</t>
        </is>
      </c>
      <c r="B23" s="13" t="n">
        <v>46254</v>
      </c>
      <c r="C23" s="12" t="inlineStr">
        <is>
          <t>sensitive</t>
        </is>
      </c>
      <c r="D23" s="12" t="inlineStr">
        <is>
          <t>d17_base + standard head</t>
        </is>
      </c>
      <c r="E23" s="12" t="inlineStr">
        <is>
          <t>holdout20k</t>
        </is>
      </c>
      <c r="F23" s="14" t="inlineStr">
        <is>
          <t>T1</t>
        </is>
      </c>
      <c r="G23" s="15" t="n">
        <v>20000</v>
      </c>
      <c r="H23" s="16" t="n">
        <v>0.9792</v>
      </c>
      <c r="I23" s="16" t="n">
        <v>0.96385</v>
      </c>
      <c r="J23" s="16" t="n">
        <v>0.9009</v>
      </c>
      <c r="K23" s="17">
        <f>IF(OR(L23="",L23=0),"",1000/L23)</f>
        <v/>
      </c>
      <c r="L23" s="18" t="n">
        <v>1.66</v>
      </c>
      <c r="M23" s="14" t="inlineStr">
        <is>
          <t>R1.21</t>
        </is>
      </c>
      <c r="N23" s="19">
        <f>IFERROR(IF(P23&lt;&gt;"",IF(INDEX($P$2:$P$417,MATCH($M23,$A$2:$A$417,0))="","",P23-INDEX($P$2:$P$417,MATCH($M23,$A$2:$A$417,0))),IF(H23&lt;&gt;"",IF(INDEX($H$2:$H$417,MATCH($M23,$A$2:$A$417,0))="","",H23-INDEX($H$2:$H$417,MATCH($M23,$A$2:$A$417,0))),IF(O23&lt;&gt;"",IF(INDEX($O$2:$O$417,MATCH($M23,$A$2:$A$417,0))="","",O23-INDEX($O$2:$O$417,MATCH($M23,$A$2:$A$417,0))),IF(Q23&lt;&gt;"",IF(INDEX($Q$2:$Q$417,MATCH($M23,$A$2:$A$417,0))="","",Q23-INDEX($Q$2:$Q$417,MATCH($M23,$A$2:$A$417,0))),"")))),"")</f>
        <v/>
      </c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20" t="n"/>
      <c r="Z23" s="20" t="n"/>
      <c r="AA23" s="16" t="n"/>
      <c r="AB23" s="21" t="inlineStr">
        <is>
          <t>distillation variant d17_base: {"pca_dims": "256", "sif_coefficient": "0.0001", "quantize_to": "float16"}; dim 256, vocab 50254</t>
        </is>
      </c>
      <c r="AC23" s="21" t="n"/>
    </row>
    <row r="24" ht="28" customHeight="1">
      <c r="A24" s="2" t="inlineStr">
        <is>
          <t>R1.23</t>
        </is>
      </c>
      <c r="B24" s="3" t="n">
        <v>46254</v>
      </c>
      <c r="C24" s="2" t="inlineStr">
        <is>
          <t>sensitive</t>
        </is>
      </c>
      <c r="D24" s="2" t="inlineStr">
        <is>
          <t>d17_direct + standard head</t>
        </is>
      </c>
      <c r="E24" s="2" t="inlineStr">
        <is>
          <t>holdout20k</t>
        </is>
      </c>
      <c r="F24" s="4" t="inlineStr">
        <is>
          <t>T1</t>
        </is>
      </c>
      <c r="G24" s="5" t="n">
        <v>20000</v>
      </c>
      <c r="H24" s="6" t="n">
        <v>0.9792</v>
      </c>
      <c r="I24" s="6" t="n">
        <v>0.96385</v>
      </c>
      <c r="J24" s="6" t="n">
        <v>0.9009</v>
      </c>
      <c r="K24" s="7">
        <f>IF(OR(L24="",L24=0),"",1000/L24)</f>
        <v/>
      </c>
      <c r="L24" s="8" t="n">
        <v>1.651</v>
      </c>
      <c r="M24" s="4" t="inlineStr">
        <is>
          <t>R1.21</t>
        </is>
      </c>
      <c r="N24" s="9">
        <f>IFERROR(IF(P24&lt;&gt;"",IF(INDEX($P$2:$P$417,MATCH($M24,$A$2:$A$417,0))="","",P24-INDEX($P$2:$P$417,MATCH($M24,$A$2:$A$417,0))),IF(H24&lt;&gt;"",IF(INDEX($H$2:$H$417,MATCH($M24,$A$2:$A$417,0))="","",H24-INDEX($H$2:$H$417,MATCH($M24,$A$2:$A$417,0))),IF(O24&lt;&gt;"",IF(INDEX($O$2:$O$417,MATCH($M24,$A$2:$A$417,0))="","",O24-INDEX($O$2:$O$417,MATCH($M24,$A$2:$A$417,0))),IF(Q24&lt;&gt;"",IF(INDEX($Q$2:$Q$417,MATCH($M24,$A$2:$A$417,0))="","",Q24-INDEX($Q$2:$Q$417,MATCH($M24,$A$2:$A$417,0))),"")))),"")</f>
        <v/>
      </c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10" t="n"/>
      <c r="Z24" s="10" t="n"/>
      <c r="AA24" s="6" t="n"/>
      <c r="AB24" s="11" t="inlineStr">
        <is>
          <t>distillation variant d17_direct: {"pca_dims": "256", "sif_coefficient": "0.0001", "quantize_to": "float16"}; dim 256, vocab 50254</t>
        </is>
      </c>
      <c r="AC24" s="11" t="n"/>
    </row>
    <row r="25" ht="28" customHeight="1">
      <c r="A25" s="12" t="inlineStr">
        <is>
          <t>R1.24</t>
        </is>
      </c>
      <c r="B25" s="13" t="n">
        <v>46254</v>
      </c>
      <c r="C25" s="12" t="inlineStr">
        <is>
          <t>sensitive</t>
        </is>
      </c>
      <c r="D25" s="12" t="inlineStr">
        <is>
          <t>d17_fp32 + standard head</t>
        </is>
      </c>
      <c r="E25" s="12" t="inlineStr">
        <is>
          <t>holdout20k</t>
        </is>
      </c>
      <c r="F25" s="14" t="inlineStr">
        <is>
          <t>T1</t>
        </is>
      </c>
      <c r="G25" s="15" t="n">
        <v>20000</v>
      </c>
      <c r="H25" s="16" t="n">
        <v>0.97915</v>
      </c>
      <c r="I25" s="16" t="n">
        <v>0.96375</v>
      </c>
      <c r="J25" s="16" t="n">
        <v>0.90135</v>
      </c>
      <c r="K25" s="17">
        <f>IF(OR(L25="",L25=0),"",1000/L25)</f>
        <v/>
      </c>
      <c r="L25" s="18" t="n">
        <v>1.365</v>
      </c>
      <c r="M25" s="14" t="inlineStr">
        <is>
          <t>R1.21</t>
        </is>
      </c>
      <c r="N25" s="19">
        <f>IFERROR(IF(P25&lt;&gt;"",IF(INDEX($P$2:$P$417,MATCH($M25,$A$2:$A$417,0))="","",P25-INDEX($P$2:$P$417,MATCH($M25,$A$2:$A$417,0))),IF(H25&lt;&gt;"",IF(INDEX($H$2:$H$417,MATCH($M25,$A$2:$A$417,0))="","",H25-INDEX($H$2:$H$417,MATCH($M25,$A$2:$A$417,0))),IF(O25&lt;&gt;"",IF(INDEX($O$2:$O$417,MATCH($M25,$A$2:$A$417,0))="","",O25-INDEX($O$2:$O$417,MATCH($M25,$A$2:$A$417,0))),IF(Q25&lt;&gt;"",IF(INDEX($Q$2:$Q$417,MATCH($M25,$A$2:$A$417,0))="","",Q25-INDEX($Q$2:$Q$417,MATCH($M25,$A$2:$A$417,0))),"")))),"")</f>
        <v/>
      </c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20" t="n"/>
      <c r="Z25" s="20" t="n"/>
      <c r="AA25" s="16" t="n"/>
      <c r="AB25" s="21" t="inlineStr">
        <is>
          <t>distillation variant d17_fp32: {"pca_dims": "256", "quantize_to": "float32"}; dim 256, vocab 50254</t>
        </is>
      </c>
      <c r="AC25" s="21" t="n"/>
    </row>
    <row r="26" ht="28" customHeight="1">
      <c r="A26" s="2" t="inlineStr">
        <is>
          <t>R1.25</t>
        </is>
      </c>
      <c r="B26" s="3" t="n">
        <v>46254</v>
      </c>
      <c r="C26" s="2" t="inlineStr">
        <is>
          <t>sensitive</t>
        </is>
      </c>
      <c r="D26" s="2" t="inlineStr">
        <is>
          <t>d17_nopca + standard head</t>
        </is>
      </c>
      <c r="E26" s="2" t="inlineStr">
        <is>
          <t>holdout20k</t>
        </is>
      </c>
      <c r="F26" s="4" t="inlineStr">
        <is>
          <t>T1</t>
        </is>
      </c>
      <c r="G26" s="5" t="n">
        <v>20000</v>
      </c>
      <c r="H26" s="6" t="n">
        <v>0.8044</v>
      </c>
      <c r="I26" s="6" t="n">
        <v>0.7279</v>
      </c>
      <c r="J26" s="6" t="n">
        <v>0.5638</v>
      </c>
      <c r="K26" s="7">
        <f>IF(OR(L26="",L26=0),"",1000/L26)</f>
        <v/>
      </c>
      <c r="L26" s="8" t="n">
        <v>1.596</v>
      </c>
      <c r="M26" s="4" t="inlineStr">
        <is>
          <t>R1.21</t>
        </is>
      </c>
      <c r="N26" s="9">
        <f>IFERROR(IF(P26&lt;&gt;"",IF(INDEX($P$2:$P$417,MATCH($M26,$A$2:$A$417,0))="","",P26-INDEX($P$2:$P$417,MATCH($M26,$A$2:$A$417,0))),IF(H26&lt;&gt;"",IF(INDEX($H$2:$H$417,MATCH($M26,$A$2:$A$417,0))="","",H26-INDEX($H$2:$H$417,MATCH($M26,$A$2:$A$417,0))),IF(O26&lt;&gt;"",IF(INDEX($O$2:$O$417,MATCH($M26,$A$2:$A$417,0))="","",O26-INDEX($O$2:$O$417,MATCH($M26,$A$2:$A$417,0))),IF(Q26&lt;&gt;"",IF(INDEX($Q$2:$Q$417,MATCH($M26,$A$2:$A$417,0))="","",Q26-INDEX($Q$2:$Q$417,MATCH($M26,$A$2:$A$417,0))),"")))),"")</f>
        <v/>
      </c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10" t="n"/>
      <c r="Z26" s="10" t="n"/>
      <c r="AA26" s="6" t="n"/>
      <c r="AB26" s="11" t="inlineStr">
        <is>
          <t>distillation variant d17_nopca: {"pca_dims": "None"}; dim 256, vocab 50254</t>
        </is>
      </c>
      <c r="AC26" s="11" t="n"/>
    </row>
    <row r="27" ht="28" customHeight="1">
      <c r="A27" s="12" t="inlineStr">
        <is>
          <t>R1.26</t>
        </is>
      </c>
      <c r="B27" s="13" t="n">
        <v>46254</v>
      </c>
      <c r="C27" s="12" t="inlineStr">
        <is>
          <t>sensitive</t>
        </is>
      </c>
      <c r="D27" s="12" t="inlineStr">
        <is>
          <t>d17_pca128 + standard head</t>
        </is>
      </c>
      <c r="E27" s="12" t="inlineStr">
        <is>
          <t>holdout20k</t>
        </is>
      </c>
      <c r="F27" s="14" t="inlineStr">
        <is>
          <t>T1</t>
        </is>
      </c>
      <c r="G27" s="15" t="n">
        <v>20000</v>
      </c>
      <c r="H27" s="16" t="n">
        <v>0.9762000000000001</v>
      </c>
      <c r="I27" s="16" t="n">
        <v>0.96065</v>
      </c>
      <c r="J27" s="16" t="n">
        <v>0.89285</v>
      </c>
      <c r="K27" s="17">
        <f>IF(OR(L27="",L27=0),"",1000/L27)</f>
        <v/>
      </c>
      <c r="L27" s="18" t="n">
        <v>1.45</v>
      </c>
      <c r="M27" s="14" t="inlineStr">
        <is>
          <t>R1.21</t>
        </is>
      </c>
      <c r="N27" s="19">
        <f>IFERROR(IF(P27&lt;&gt;"",IF(INDEX($P$2:$P$417,MATCH($M27,$A$2:$A$417,0))="","",P27-INDEX($P$2:$P$417,MATCH($M27,$A$2:$A$417,0))),IF(H27&lt;&gt;"",IF(INDEX($H$2:$H$417,MATCH($M27,$A$2:$A$417,0))="","",H27-INDEX($H$2:$H$417,MATCH($M27,$A$2:$A$417,0))),IF(O27&lt;&gt;"",IF(INDEX($O$2:$O$417,MATCH($M27,$A$2:$A$417,0))="","",O27-INDEX($O$2:$O$417,MATCH($M27,$A$2:$A$417,0))),IF(Q27&lt;&gt;"",IF(INDEX($Q$2:$Q$417,MATCH($M27,$A$2:$A$417,0))="","",Q27-INDEX($Q$2:$Q$417,MATCH($M27,$A$2:$A$417,0))),"")))),"")</f>
        <v/>
      </c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20" t="n"/>
      <c r="Z27" s="20" t="n"/>
      <c r="AA27" s="16" t="n"/>
      <c r="AB27" s="21" t="inlineStr">
        <is>
          <t>distillation variant d17_pca128: {"pca_dims": "128"}; dim 128, vocab 50254</t>
        </is>
      </c>
      <c r="AC27" s="21" t="n"/>
    </row>
    <row r="28" ht="28" customHeight="1">
      <c r="A28" s="2" t="inlineStr">
        <is>
          <t>R1.27</t>
        </is>
      </c>
      <c r="B28" s="3" t="n">
        <v>46254</v>
      </c>
      <c r="C28" s="2" t="inlineStr">
        <is>
          <t>sensitive</t>
        </is>
      </c>
      <c r="D28" s="2" t="inlineStr">
        <is>
          <t>d17_pca64 + standard head</t>
        </is>
      </c>
      <c r="E28" s="2" t="inlineStr">
        <is>
          <t>holdout20k</t>
        </is>
      </c>
      <c r="F28" s="4" t="inlineStr">
        <is>
          <t>T1</t>
        </is>
      </c>
      <c r="G28" s="5" t="n">
        <v>20000</v>
      </c>
      <c r="H28" s="6" t="n">
        <v>0.9752</v>
      </c>
      <c r="I28" s="6" t="n">
        <v>0.95585</v>
      </c>
      <c r="J28" s="6" t="n">
        <v>0.885</v>
      </c>
      <c r="K28" s="7">
        <f>IF(OR(L28="",L28=0),"",1000/L28)</f>
        <v/>
      </c>
      <c r="L28" s="8" t="n">
        <v>1.328</v>
      </c>
      <c r="M28" s="4" t="inlineStr">
        <is>
          <t>R1.21</t>
        </is>
      </c>
      <c r="N28" s="9">
        <f>IFERROR(IF(P28&lt;&gt;"",IF(INDEX($P$2:$P$417,MATCH($M28,$A$2:$A$417,0))="","",P28-INDEX($P$2:$P$417,MATCH($M28,$A$2:$A$417,0))),IF(H28&lt;&gt;"",IF(INDEX($H$2:$H$417,MATCH($M28,$A$2:$A$417,0))="","",H28-INDEX($H$2:$H$417,MATCH($M28,$A$2:$A$417,0))),IF(O28&lt;&gt;"",IF(INDEX($O$2:$O$417,MATCH($M28,$A$2:$A$417,0))="","",O28-INDEX($O$2:$O$417,MATCH($M28,$A$2:$A$417,0))),IF(Q28&lt;&gt;"",IF(INDEX($Q$2:$Q$417,MATCH($M28,$A$2:$A$417,0))="","",Q28-INDEX($Q$2:$Q$417,MATCH($M28,$A$2:$A$417,0))),"")))),"")</f>
        <v/>
      </c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10" t="n"/>
      <c r="Z28" s="10" t="n"/>
      <c r="AA28" s="6" t="n"/>
      <c r="AB28" s="11" t="inlineStr">
        <is>
          <t>distillation variant d17_pca64: {"pca_dims": "64"}; dim 64, vocab 50254</t>
        </is>
      </c>
      <c r="AC28" s="11" t="n"/>
    </row>
    <row r="29" ht="28" customHeight="1">
      <c r="A29" s="12" t="inlineStr">
        <is>
          <t>R1.28</t>
        </is>
      </c>
      <c r="B29" s="13" t="n">
        <v>46254</v>
      </c>
      <c r="C29" s="12" t="inlineStr">
        <is>
          <t>sensitive</t>
        </is>
      </c>
      <c r="D29" s="12" t="inlineStr">
        <is>
          <t>d17_pcaauto + standard head</t>
        </is>
      </c>
      <c r="E29" s="12" t="inlineStr">
        <is>
          <t>holdout20k</t>
        </is>
      </c>
      <c r="F29" s="14" t="inlineStr">
        <is>
          <t>T1</t>
        </is>
      </c>
      <c r="G29" s="15" t="n">
        <v>20000</v>
      </c>
      <c r="H29" s="16" t="n">
        <v>0.9792</v>
      </c>
      <c r="I29" s="16" t="n">
        <v>0.96385</v>
      </c>
      <c r="J29" s="16" t="n">
        <v>0.9009</v>
      </c>
      <c r="K29" s="17">
        <f>IF(OR(L29="",L29=0),"",1000/L29)</f>
        <v/>
      </c>
      <c r="L29" s="18" t="n">
        <v>1.593</v>
      </c>
      <c r="M29" s="14" t="inlineStr">
        <is>
          <t>R1.21</t>
        </is>
      </c>
      <c r="N29" s="19">
        <f>IFERROR(IF(P29&lt;&gt;"",IF(INDEX($P$2:$P$417,MATCH($M29,$A$2:$A$417,0))="","",P29-INDEX($P$2:$P$417,MATCH($M29,$A$2:$A$417,0))),IF(H29&lt;&gt;"",IF(INDEX($H$2:$H$417,MATCH($M29,$A$2:$A$417,0))="","",H29-INDEX($H$2:$H$417,MATCH($M29,$A$2:$A$417,0))),IF(O29&lt;&gt;"",IF(INDEX($O$2:$O$417,MATCH($M29,$A$2:$A$417,0))="","",O29-INDEX($O$2:$O$417,MATCH($M29,$A$2:$A$417,0))),IF(Q29&lt;&gt;"",IF(INDEX($Q$2:$Q$417,MATCH($M29,$A$2:$A$417,0))="","",Q29-INDEX($Q$2:$Q$417,MATCH($M29,$A$2:$A$417,0))),"")))),"")</f>
        <v/>
      </c>
      <c r="O29" s="16" t="n"/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  <c r="Y29" s="20" t="n"/>
      <c r="Z29" s="20" t="n"/>
      <c r="AA29" s="16" t="n"/>
      <c r="AB29" s="21" t="inlineStr">
        <is>
          <t>distillation variant d17_pcaauto: {"pca_dims": "auto"}; dim 256, vocab 50254</t>
        </is>
      </c>
      <c r="AC29" s="21" t="n"/>
    </row>
    <row r="30" ht="28" customHeight="1">
      <c r="A30" s="2" t="inlineStr">
        <is>
          <t>R1.29</t>
        </is>
      </c>
      <c r="B30" s="3" t="n">
        <v>46254</v>
      </c>
      <c r="C30" s="2" t="inlineStr">
        <is>
          <t>sensitive</t>
        </is>
      </c>
      <c r="D30" s="2" t="inlineStr">
        <is>
          <t>d17_poolfirst + standard head</t>
        </is>
      </c>
      <c r="E30" s="2" t="inlineStr">
        <is>
          <t>holdout20k</t>
        </is>
      </c>
      <c r="F30" s="4" t="inlineStr">
        <is>
          <t>T1</t>
        </is>
      </c>
      <c r="G30" s="5" t="n">
        <v>20000</v>
      </c>
      <c r="H30" s="6" t="n">
        <v>0.9771</v>
      </c>
      <c r="I30" s="6" t="n">
        <v>0.9588</v>
      </c>
      <c r="J30" s="6" t="n">
        <v>0.88875</v>
      </c>
      <c r="K30" s="7">
        <f>IF(OR(L30="",L30=0),"",1000/L30)</f>
        <v/>
      </c>
      <c r="L30" s="8" t="n">
        <v>1.596</v>
      </c>
      <c r="M30" s="4" t="inlineStr">
        <is>
          <t>R1.21</t>
        </is>
      </c>
      <c r="N30" s="9">
        <f>IFERROR(IF(P30&lt;&gt;"",IF(INDEX($P$2:$P$417,MATCH($M30,$A$2:$A$417,0))="","",P30-INDEX($P$2:$P$417,MATCH($M30,$A$2:$A$417,0))),IF(H30&lt;&gt;"",IF(INDEX($H$2:$H$417,MATCH($M30,$A$2:$A$417,0))="","",H30-INDEX($H$2:$H$417,MATCH($M30,$A$2:$A$417,0))),IF(O30&lt;&gt;"",IF(INDEX($O$2:$O$417,MATCH($M30,$A$2:$A$417,0))="","",O30-INDEX($O$2:$O$417,MATCH($M30,$A$2:$A$417,0))),IF(Q30&lt;&gt;"",IF(INDEX($Q$2:$Q$417,MATCH($M30,$A$2:$A$417,0))="","",Q30-INDEX($Q$2:$Q$417,MATCH($M30,$A$2:$A$417,0))),"")))),"")</f>
        <v/>
      </c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10" t="n"/>
      <c r="Z30" s="10" t="n"/>
      <c r="AA30" s="6" t="n"/>
      <c r="AB30" s="11" t="inlineStr">
        <is>
          <t>distillation variant d17_poolfirst: {"pca_dims": "256", "pooling": "first"}; dim 256, vocab 50254</t>
        </is>
      </c>
      <c r="AC30" s="11" t="n"/>
    </row>
    <row r="31" ht="28" customHeight="1">
      <c r="A31" s="12" t="inlineStr">
        <is>
          <t>R1.30</t>
        </is>
      </c>
      <c r="B31" s="13" t="n">
        <v>46254</v>
      </c>
      <c r="C31" s="12" t="inlineStr">
        <is>
          <t>sensitive</t>
        </is>
      </c>
      <c r="D31" s="12" t="inlineStr">
        <is>
          <t>d17_sif1e3 + standard head</t>
        </is>
      </c>
      <c r="E31" s="12" t="inlineStr">
        <is>
          <t>holdout20k</t>
        </is>
      </c>
      <c r="F31" s="14" t="inlineStr">
        <is>
          <t>T1</t>
        </is>
      </c>
      <c r="G31" s="15" t="n">
        <v>20000</v>
      </c>
      <c r="H31" s="16" t="n">
        <v>0.9756</v>
      </c>
      <c r="I31" s="16" t="n">
        <v>0.9561500000000001</v>
      </c>
      <c r="J31" s="16" t="n">
        <v>0.8894</v>
      </c>
      <c r="K31" s="17">
        <f>IF(OR(L31="",L31=0),"",1000/L31)</f>
        <v/>
      </c>
      <c r="L31" s="18" t="n">
        <v>1.58</v>
      </c>
      <c r="M31" s="14" t="inlineStr">
        <is>
          <t>R1.21</t>
        </is>
      </c>
      <c r="N31" s="19">
        <f>IFERROR(IF(P31&lt;&gt;"",IF(INDEX($P$2:$P$417,MATCH($M31,$A$2:$A$417,0))="","",P31-INDEX($P$2:$P$417,MATCH($M31,$A$2:$A$417,0))),IF(H31&lt;&gt;"",IF(INDEX($H$2:$H$417,MATCH($M31,$A$2:$A$417,0))="","",H31-INDEX($H$2:$H$417,MATCH($M31,$A$2:$A$417,0))),IF(O31&lt;&gt;"",IF(INDEX($O$2:$O$417,MATCH($M31,$A$2:$A$417,0))="","",O31-INDEX($O$2:$O$417,MATCH($M31,$A$2:$A$417,0))),IF(Q31&lt;&gt;"",IF(INDEX($Q$2:$Q$417,MATCH($M31,$A$2:$A$417,0))="","",Q31-INDEX($Q$2:$Q$417,MATCH($M31,$A$2:$A$417,0))),"")))),"")</f>
        <v/>
      </c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20" t="n"/>
      <c r="Z31" s="20" t="n"/>
      <c r="AA31" s="16" t="n"/>
      <c r="AB31" s="21" t="inlineStr">
        <is>
          <t>distillation variant d17_sif1e3: {"pca_dims": "256", "sif_coefficient": "0.001"}; dim 256, vocab 50254</t>
        </is>
      </c>
      <c r="AC31" s="21" t="n"/>
    </row>
    <row r="32" ht="28" customHeight="1">
      <c r="A32" s="2" t="inlineStr">
        <is>
          <t>R1.31</t>
        </is>
      </c>
      <c r="B32" s="3" t="n">
        <v>46254</v>
      </c>
      <c r="C32" s="2" t="inlineStr">
        <is>
          <t>sensitive</t>
        </is>
      </c>
      <c r="D32" s="2" t="inlineStr">
        <is>
          <t>d17_sif1e5 + standard head</t>
        </is>
      </c>
      <c r="E32" s="2" t="inlineStr">
        <is>
          <t>holdout20k</t>
        </is>
      </c>
      <c r="F32" s="4" t="inlineStr">
        <is>
          <t>T1</t>
        </is>
      </c>
      <c r="G32" s="5" t="n">
        <v>20000</v>
      </c>
      <c r="H32" s="6" t="n">
        <v>0.9802</v>
      </c>
      <c r="I32" s="6" t="n">
        <v>0.96635</v>
      </c>
      <c r="J32" s="6" t="n">
        <v>0.9076999999999998</v>
      </c>
      <c r="K32" s="7">
        <f>IF(OR(L32="",L32=0),"",1000/L32)</f>
        <v/>
      </c>
      <c r="L32" s="8" t="n">
        <v>1.664</v>
      </c>
      <c r="M32" s="4" t="inlineStr">
        <is>
          <t>R1.21</t>
        </is>
      </c>
      <c r="N32" s="9">
        <f>IFERROR(IF(P32&lt;&gt;"",IF(INDEX($P$2:$P$417,MATCH($M32,$A$2:$A$417,0))="","",P32-INDEX($P$2:$P$417,MATCH($M32,$A$2:$A$417,0))),IF(H32&lt;&gt;"",IF(INDEX($H$2:$H$417,MATCH($M32,$A$2:$A$417,0))="","",H32-INDEX($H$2:$H$417,MATCH($M32,$A$2:$A$417,0))),IF(O32&lt;&gt;"",IF(INDEX($O$2:$O$417,MATCH($M32,$A$2:$A$417,0))="","",O32-INDEX($O$2:$O$417,MATCH($M32,$A$2:$A$417,0))),IF(Q32&lt;&gt;"",IF(INDEX($Q$2:$Q$417,MATCH($M32,$A$2:$A$417,0))="","",Q32-INDEX($Q$2:$Q$417,MATCH($M32,$A$2:$A$417,0))),"")))),"")</f>
        <v/>
      </c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10" t="n"/>
      <c r="Z32" s="10" t="n"/>
      <c r="AA32" s="6" t="n"/>
      <c r="AB32" s="11" t="inlineStr">
        <is>
          <t>distillation variant d17_sif1e5: {"pca_dims": "256", "sif_coefficient": "1e-05"}; dim 256, vocab 50254</t>
        </is>
      </c>
      <c r="AC32" s="11" t="n"/>
    </row>
    <row r="33" ht="28" customHeight="1">
      <c r="A33" s="12" t="inlineStr">
        <is>
          <t>R1.32</t>
        </is>
      </c>
      <c r="B33" s="13" t="n">
        <v>46254</v>
      </c>
      <c r="C33" s="12" t="inlineStr">
        <is>
          <t>sensitive</t>
        </is>
      </c>
      <c r="D33" s="12" t="inlineStr">
        <is>
          <t>d17_sifnone + standard head</t>
        </is>
      </c>
      <c r="E33" s="12" t="inlineStr">
        <is>
          <t>holdout20k</t>
        </is>
      </c>
      <c r="F33" s="14" t="inlineStr">
        <is>
          <t>T1</t>
        </is>
      </c>
      <c r="G33" s="15" t="n">
        <v>20000</v>
      </c>
      <c r="H33" s="16" t="n">
        <v>0.9726499999999999</v>
      </c>
      <c r="I33" s="16" t="n">
        <v>0.9512</v>
      </c>
      <c r="J33" s="16" t="n">
        <v>0.8855500000000001</v>
      </c>
      <c r="K33" s="17">
        <f>IF(OR(L33="",L33=0),"",1000/L33)</f>
        <v/>
      </c>
      <c r="L33" s="18" t="n">
        <v>1.604</v>
      </c>
      <c r="M33" s="14" t="inlineStr">
        <is>
          <t>R1.21</t>
        </is>
      </c>
      <c r="N33" s="19">
        <f>IFERROR(IF(P33&lt;&gt;"",IF(INDEX($P$2:$P$417,MATCH($M33,$A$2:$A$417,0))="","",P33-INDEX($P$2:$P$417,MATCH($M33,$A$2:$A$417,0))),IF(H33&lt;&gt;"",IF(INDEX($H$2:$H$417,MATCH($M33,$A$2:$A$417,0))="","",H33-INDEX($H$2:$H$417,MATCH($M33,$A$2:$A$417,0))),IF(O33&lt;&gt;"",IF(INDEX($O$2:$O$417,MATCH($M33,$A$2:$A$417,0))="","",O33-INDEX($O$2:$O$417,MATCH($M33,$A$2:$A$417,0))),IF(Q33&lt;&gt;"",IF(INDEX($Q$2:$Q$417,MATCH($M33,$A$2:$A$417,0))="","",Q33-INDEX($Q$2:$Q$417,MATCH($M33,$A$2:$A$417,0))),"")))),"")</f>
        <v/>
      </c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20" t="n"/>
      <c r="Z33" s="20" t="n"/>
      <c r="AA33" s="16" t="n"/>
      <c r="AB33" s="21" t="inlineStr">
        <is>
          <t>distillation variant d17_sifnone: {"pca_dims": "256", "sif_coefficient": "None"}; dim 256, vocab 50254</t>
        </is>
      </c>
      <c r="AC33" s="21" t="n"/>
    </row>
    <row r="34" ht="28" customHeight="1">
      <c r="A34" s="2" t="inlineStr">
        <is>
          <t>R1.33</t>
        </is>
      </c>
      <c r="B34" s="3" t="n">
        <v>46254</v>
      </c>
      <c r="C34" s="2" t="inlineStr">
        <is>
          <t>sensitive</t>
        </is>
      </c>
      <c r="D34" s="2" t="inlineStr">
        <is>
          <t>d17_vocab + standard head</t>
        </is>
      </c>
      <c r="E34" s="2" t="inlineStr">
        <is>
          <t>holdout20k</t>
        </is>
      </c>
      <c r="F34" s="4" t="inlineStr">
        <is>
          <t>T1</t>
        </is>
      </c>
      <c r="G34" s="5" t="n">
        <v>20000</v>
      </c>
      <c r="H34" s="6" t="n">
        <v>0.979</v>
      </c>
      <c r="I34" s="6" t="n">
        <v>0.9628</v>
      </c>
      <c r="J34" s="6" t="n">
        <v>0.8986499999999999</v>
      </c>
      <c r="K34" s="7">
        <f>IF(OR(L34="",L34=0),"",1000/L34)</f>
        <v/>
      </c>
      <c r="L34" s="8" t="n">
        <v>1.627</v>
      </c>
      <c r="M34" s="4" t="inlineStr">
        <is>
          <t>R1.21</t>
        </is>
      </c>
      <c r="N34" s="9">
        <f>IFERROR(IF(P34&lt;&gt;"",IF(INDEX($P$2:$P$417,MATCH($M34,$A$2:$A$417,0))="","",P34-INDEX($P$2:$P$417,MATCH($M34,$A$2:$A$417,0))),IF(H34&lt;&gt;"",IF(INDEX($H$2:$H$417,MATCH($M34,$A$2:$A$417,0))="","",H34-INDEX($H$2:$H$417,MATCH($M34,$A$2:$A$417,0))),IF(O34&lt;&gt;"",IF(INDEX($O$2:$O$417,MATCH($M34,$A$2:$A$417,0))="","",O34-INDEX($O$2:$O$417,MATCH($M34,$A$2:$A$417,0))),IF(Q34&lt;&gt;"",IF(INDEX($Q$2:$Q$417,MATCH($M34,$A$2:$A$417,0))="","",Q34-INDEX($Q$2:$Q$417,MATCH($M34,$A$2:$A$417,0))),"")))),"")</f>
        <v/>
      </c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10" t="n"/>
      <c r="Z34" s="10" t="n"/>
      <c r="AA34" s="6" t="n"/>
      <c r="AB34" s="11" t="inlineStr">
        <is>
          <t>distillation variant d17_vocab: {"pca_dims": "256"}; dim 256, vocab 50755</t>
        </is>
      </c>
      <c r="AC34" s="11" t="n"/>
    </row>
    <row r="35" ht="28" customHeight="1">
      <c r="A35" s="12" t="inlineStr">
        <is>
          <t>R1.34</t>
        </is>
      </c>
      <c r="B35" s="13" t="n">
        <v>46254</v>
      </c>
      <c r="C35" s="12" t="inlineStr">
        <is>
          <t>sensitive</t>
        </is>
      </c>
      <c r="D35" s="12" t="inlineStr">
        <is>
          <t>d32_base + standard head</t>
        </is>
      </c>
      <c r="E35" s="12" t="inlineStr">
        <is>
          <t>holdout20k</t>
        </is>
      </c>
      <c r="F35" s="14" t="inlineStr">
        <is>
          <t>T1</t>
        </is>
      </c>
      <c r="G35" s="15" t="n">
        <v>20000</v>
      </c>
      <c r="H35" s="16" t="n">
        <v>0.9786</v>
      </c>
      <c r="I35" s="16" t="n">
        <v>0.96385</v>
      </c>
      <c r="J35" s="16" t="n">
        <v>0.9026</v>
      </c>
      <c r="K35" s="17">
        <f>IF(OR(L35="",L35=0),"",1000/L35)</f>
        <v/>
      </c>
      <c r="L35" s="18" t="n">
        <v>1.749</v>
      </c>
      <c r="M35" s="14" t="inlineStr">
        <is>
          <t>R1.21</t>
        </is>
      </c>
      <c r="N35" s="19">
        <f>IFERROR(IF(P35&lt;&gt;"",IF(INDEX($P$2:$P$417,MATCH($M35,$A$2:$A$417,0))="","",P35-INDEX($P$2:$P$417,MATCH($M35,$A$2:$A$417,0))),IF(H35&lt;&gt;"",IF(INDEX($H$2:$H$417,MATCH($M35,$A$2:$A$417,0))="","",H35-INDEX($H$2:$H$417,MATCH($M35,$A$2:$A$417,0))),IF(O35&lt;&gt;"",IF(INDEX($O$2:$O$417,MATCH($M35,$A$2:$A$417,0))="","",O35-INDEX($O$2:$O$417,MATCH($M35,$A$2:$A$417,0))),IF(Q35&lt;&gt;"",IF(INDEX($Q$2:$Q$417,MATCH($M35,$A$2:$A$417,0))="","",Q35-INDEX($Q$2:$Q$417,MATCH($M35,$A$2:$A$417,0))),"")))),"")</f>
        <v/>
      </c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20" t="n"/>
      <c r="Z35" s="20" t="n"/>
      <c r="AA35" s="16" t="n"/>
      <c r="AB35" s="21" t="inlineStr">
        <is>
          <t>distillation variant d32_base: {"pca_dims": "384"}; dim 384, vocab 50254</t>
        </is>
      </c>
      <c r="AC35" s="21" t="n"/>
    </row>
    <row r="36" ht="28" customHeight="1">
      <c r="A36" s="2" t="inlineStr">
        <is>
          <t>R1.35</t>
        </is>
      </c>
      <c r="B36" s="3" t="n">
        <v>46254</v>
      </c>
      <c r="C36" s="2" t="inlineStr">
        <is>
          <t>sensitive</t>
        </is>
      </c>
      <c r="D36" s="2" t="inlineStr">
        <is>
          <t>d68_base + standard head</t>
        </is>
      </c>
      <c r="E36" s="2" t="inlineStr">
        <is>
          <t>holdout20k</t>
        </is>
      </c>
      <c r="F36" s="4" t="inlineStr">
        <is>
          <t>T1</t>
        </is>
      </c>
      <c r="G36" s="5" t="n">
        <v>20000</v>
      </c>
      <c r="H36" s="6" t="n">
        <v>0.98085</v>
      </c>
      <c r="I36" s="6" t="n">
        <v>0.96745</v>
      </c>
      <c r="J36" s="6" t="n">
        <v>0.91405</v>
      </c>
      <c r="K36" s="7">
        <f>IF(OR(L36="",L36=0),"",1000/L36)</f>
        <v/>
      </c>
      <c r="L36" s="8" t="n">
        <v>1.91</v>
      </c>
      <c r="M36" s="4" t="inlineStr">
        <is>
          <t>R1.21</t>
        </is>
      </c>
      <c r="N36" s="9">
        <f>IFERROR(IF(P36&lt;&gt;"",IF(INDEX($P$2:$P$417,MATCH($M36,$A$2:$A$417,0))="","",P36-INDEX($P$2:$P$417,MATCH($M36,$A$2:$A$417,0))),IF(H36&lt;&gt;"",IF(INDEX($H$2:$H$417,MATCH($M36,$A$2:$A$417,0))="","",H36-INDEX($H$2:$H$417,MATCH($M36,$A$2:$A$417,0))),IF(O36&lt;&gt;"",IF(INDEX($O$2:$O$417,MATCH($M36,$A$2:$A$417,0))="","",O36-INDEX($O$2:$O$417,MATCH($M36,$A$2:$A$417,0))),IF(Q36&lt;&gt;"",IF(INDEX($Q$2:$Q$417,MATCH($M36,$A$2:$A$417,0))="","",Q36-INDEX($Q$2:$Q$417,MATCH($M36,$A$2:$A$417,0))),"")))),"")</f>
        <v/>
      </c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10" t="n"/>
      <c r="Z36" s="10" t="n"/>
      <c r="AA36" s="6" t="n"/>
      <c r="AB36" s="11" t="inlineStr">
        <is>
          <t>distillation variant d68_base: {"pca_dims": "512"}; dim 512, vocab 50254</t>
        </is>
      </c>
      <c r="AC36" s="11" t="n"/>
    </row>
    <row r="37" ht="28" customHeight="1">
      <c r="A37" s="12" t="inlineStr">
        <is>
          <t>R1.36</t>
        </is>
      </c>
      <c r="B37" s="13" t="n">
        <v>46254</v>
      </c>
      <c r="C37" s="12" t="inlineStr">
        <is>
          <t>sensitive</t>
        </is>
      </c>
      <c r="D37" s="12" t="inlineStr">
        <is>
          <t>tl17_base + standard head</t>
        </is>
      </c>
      <c r="E37" s="12" t="inlineStr">
        <is>
          <t>holdout20k</t>
        </is>
      </c>
      <c r="F37" s="14" t="inlineStr">
        <is>
          <t>T1</t>
        </is>
      </c>
      <c r="G37" s="15" t="n">
        <v>20000</v>
      </c>
      <c r="H37" s="16" t="n">
        <v>0.9886</v>
      </c>
      <c r="I37" s="16" t="n">
        <v>0.9815</v>
      </c>
      <c r="J37" s="16" t="n">
        <v>0.9441000000000001</v>
      </c>
      <c r="K37" s="17">
        <f>IF(OR(L37="",L37=0),"",1000/L37)</f>
        <v/>
      </c>
      <c r="L37" s="18" t="n">
        <v>1.341</v>
      </c>
      <c r="M37" s="14" t="inlineStr">
        <is>
          <t>R1.21</t>
        </is>
      </c>
      <c r="N37" s="19">
        <f>IFERROR(IF(P37&lt;&gt;"",IF(INDEX($P$2:$P$417,MATCH($M37,$A$2:$A$417,0))="","",P37-INDEX($P$2:$P$417,MATCH($M37,$A$2:$A$417,0))),IF(H37&lt;&gt;"",IF(INDEX($H$2:$H$417,MATCH($M37,$A$2:$A$417,0))="","",H37-INDEX($H$2:$H$417,MATCH($M37,$A$2:$A$417,0))),IF(O37&lt;&gt;"",IF(INDEX($O$2:$O$417,MATCH($M37,$A$2:$A$417,0))="","",O37-INDEX($O$2:$O$417,MATCH($M37,$A$2:$A$417,0))),IF(Q37&lt;&gt;"",IF(INDEX($Q$2:$Q$417,MATCH($M37,$A$2:$A$417,0))="","",Q37-INDEX($Q$2:$Q$417,MATCH($M37,$A$2:$A$417,0))),"")))),"")</f>
        <v/>
      </c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20" t="n"/>
      <c r="Z37" s="20" t="n"/>
      <c r="AA37" s="16" t="n"/>
      <c r="AB37" s="21" t="inlineStr">
        <is>
          <t>distillation variant tl17_base: "tokenlearn (POTION-style) post-training on the PII train split"; dim 256, vocab 50254</t>
        </is>
      </c>
      <c r="AC37" s="21" t="n"/>
    </row>
    <row r="38" ht="28" customHeight="1">
      <c r="A38" s="2" t="inlineStr">
        <is>
          <t>R1.37</t>
        </is>
      </c>
      <c r="B38" s="3" t="n">
        <v>46254</v>
      </c>
      <c r="C38" s="2" t="inlineStr">
        <is>
          <t>sensitive</t>
        </is>
      </c>
      <c r="D38" s="2" t="inlineStr">
        <is>
          <t>tl17_vocab + standard head</t>
        </is>
      </c>
      <c r="E38" s="2" t="inlineStr">
        <is>
          <t>holdout20k</t>
        </is>
      </c>
      <c r="F38" s="4" t="inlineStr">
        <is>
          <t>T1</t>
        </is>
      </c>
      <c r="G38" s="5" t="n">
        <v>20000</v>
      </c>
      <c r="H38" s="6" t="n">
        <v>0.9885</v>
      </c>
      <c r="I38" s="6" t="n">
        <v>0.98045</v>
      </c>
      <c r="J38" s="6" t="n">
        <v>0.94345</v>
      </c>
      <c r="K38" s="7">
        <f>IF(OR(L38="",L38=0),"",1000/L38)</f>
        <v/>
      </c>
      <c r="L38" s="8" t="n">
        <v>1.376</v>
      </c>
      <c r="M38" s="4" t="inlineStr">
        <is>
          <t>R1.21</t>
        </is>
      </c>
      <c r="N38" s="9">
        <f>IFERROR(IF(P38&lt;&gt;"",IF(INDEX($P$2:$P$417,MATCH($M38,$A$2:$A$417,0))="","",P38-INDEX($P$2:$P$417,MATCH($M38,$A$2:$A$417,0))),IF(H38&lt;&gt;"",IF(INDEX($H$2:$H$417,MATCH($M38,$A$2:$A$417,0))="","",H38-INDEX($H$2:$H$417,MATCH($M38,$A$2:$A$417,0))),IF(O38&lt;&gt;"",IF(INDEX($O$2:$O$417,MATCH($M38,$A$2:$A$417,0))="","",O38-INDEX($O$2:$O$417,MATCH($M38,$A$2:$A$417,0))),IF(Q38&lt;&gt;"",IF(INDEX($Q$2:$Q$417,MATCH($M38,$A$2:$A$417,0))="","",Q38-INDEX($Q$2:$Q$417,MATCH($M38,$A$2:$A$417,0))),"")))),"")</f>
        <v/>
      </c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10" t="n"/>
      <c r="Z38" s="10" t="n"/>
      <c r="AA38" s="6" t="n"/>
      <c r="AB38" s="11" t="inlineStr">
        <is>
          <t>distillation variant tl17_vocab: "tokenlearn (POTION-style) post-training on the PII train split"; dim 256, vocab 50755</t>
        </is>
      </c>
      <c r="AC38" s="11" t="n"/>
    </row>
    <row r="39" ht="28" customHeight="1">
      <c r="A39" s="12" t="inlineStr">
        <is>
          <t>R1.38</t>
        </is>
      </c>
      <c r="B39" s="13" t="n">
        <v>46254</v>
      </c>
      <c r="C39" s="12" t="inlineStr">
        <is>
          <t>sensitive</t>
        </is>
      </c>
      <c r="D39" s="12" t="inlineStr">
        <is>
          <t>champion + standard head</t>
        </is>
      </c>
      <c r="E39" s="12" t="inlineStr">
        <is>
          <t>test100k</t>
        </is>
      </c>
      <c r="F39" s="14" t="inlineStr">
        <is>
          <t>T1</t>
        </is>
      </c>
      <c r="G39" s="15" t="n">
        <v>20000</v>
      </c>
      <c r="H39" s="16" t="n">
        <v>0.9741</v>
      </c>
      <c r="I39" s="16" t="n">
        <v>0.9526</v>
      </c>
      <c r="J39" s="16" t="n">
        <v>0.8895999999999999</v>
      </c>
      <c r="K39" s="17">
        <f>IF(OR(L39="",L39=0),"",1000/L39)</f>
        <v/>
      </c>
      <c r="L39" s="18" t="n">
        <v>1.492</v>
      </c>
      <c r="M39" s="14" t="n"/>
      <c r="N39" s="19">
        <f>IFERROR(IF(P39&lt;&gt;"",IF(INDEX($P$2:$P$417,MATCH($M39,$A$2:$A$417,0))="","",P39-INDEX($P$2:$P$417,MATCH($M39,$A$2:$A$417,0))),IF(H39&lt;&gt;"",IF(INDEX($H$2:$H$417,MATCH($M39,$A$2:$A$417,0))="","",H39-INDEX($H$2:$H$417,MATCH($M39,$A$2:$A$417,0))),IF(O39&lt;&gt;"",IF(INDEX($O$2:$O$417,MATCH($M39,$A$2:$A$417,0))="","",O39-INDEX($O$2:$O$417,MATCH($M39,$A$2:$A$417,0))),IF(Q39&lt;&gt;"",IF(INDEX($Q$2:$Q$417,MATCH($M39,$A$2:$A$417,0))="","",Q39-INDEX($Q$2:$Q$417,MATCH($M39,$A$2:$A$417,0))),"")))),"")</f>
        <v/>
      </c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20" t="n"/>
      <c r="Z39" s="20" t="n"/>
      <c r="AA39" s="16" t="n"/>
      <c r="AB39" s="21" t="inlineStr">
        <is>
          <t>distillation variant champion: "shipped"; dim ?, vocab ?</t>
        </is>
      </c>
      <c r="AC39" s="21" t="n"/>
    </row>
    <row r="40" ht="28" customHeight="1">
      <c r="A40" s="2" t="inlineStr">
        <is>
          <t>R1.39</t>
        </is>
      </c>
      <c r="B40" s="3" t="n">
        <v>46254</v>
      </c>
      <c r="C40" s="2" t="inlineStr">
        <is>
          <t>sensitive</t>
        </is>
      </c>
      <c r="D40" s="2" t="inlineStr">
        <is>
          <t>d17_base + standard head</t>
        </is>
      </c>
      <c r="E40" s="2" t="inlineStr">
        <is>
          <t>test100k</t>
        </is>
      </c>
      <c r="F40" s="4" t="inlineStr">
        <is>
          <t>T1</t>
        </is>
      </c>
      <c r="G40" s="5" t="n">
        <v>20000</v>
      </c>
      <c r="H40" s="6" t="n">
        <v>0.9791</v>
      </c>
      <c r="I40" s="6" t="n">
        <v>0.964</v>
      </c>
      <c r="J40" s="6" t="n">
        <v>0.9036999999999999</v>
      </c>
      <c r="K40" s="7">
        <f>IF(OR(L40="",L40=0),"",1000/L40)</f>
        <v/>
      </c>
      <c r="L40" s="8" t="n">
        <v>1.66</v>
      </c>
      <c r="M40" s="4" t="inlineStr">
        <is>
          <t>R1.38</t>
        </is>
      </c>
      <c r="N40" s="9">
        <f>IFERROR(IF(P40&lt;&gt;"",IF(INDEX($P$2:$P$417,MATCH($M40,$A$2:$A$417,0))="","",P40-INDEX($P$2:$P$417,MATCH($M40,$A$2:$A$417,0))),IF(H40&lt;&gt;"",IF(INDEX($H$2:$H$417,MATCH($M40,$A$2:$A$417,0))="","",H40-INDEX($H$2:$H$417,MATCH($M40,$A$2:$A$417,0))),IF(O40&lt;&gt;"",IF(INDEX($O$2:$O$417,MATCH($M40,$A$2:$A$417,0))="","",O40-INDEX($O$2:$O$417,MATCH($M40,$A$2:$A$417,0))),IF(Q40&lt;&gt;"",IF(INDEX($Q$2:$Q$417,MATCH($M40,$A$2:$A$417,0))="","",Q40-INDEX($Q$2:$Q$417,MATCH($M40,$A$2:$A$417,0))),"")))),"")</f>
        <v/>
      </c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10" t="n"/>
      <c r="Z40" s="10" t="n"/>
      <c r="AA40" s="6" t="n"/>
      <c r="AB40" s="11" t="inlineStr">
        <is>
          <t>distillation variant d17_base: {"pca_dims": "256", "sif_coefficient": "0.0001", "quantize_to": "float16"}; dim 256, vocab 50254</t>
        </is>
      </c>
      <c r="AC40" s="11" t="n"/>
    </row>
    <row r="41" ht="28" customHeight="1">
      <c r="A41" s="12" t="inlineStr">
        <is>
          <t>R1.40</t>
        </is>
      </c>
      <c r="B41" s="13" t="n">
        <v>46254</v>
      </c>
      <c r="C41" s="12" t="inlineStr">
        <is>
          <t>sensitive</t>
        </is>
      </c>
      <c r="D41" s="12" t="inlineStr">
        <is>
          <t>d17_direct + standard head</t>
        </is>
      </c>
      <c r="E41" s="12" t="inlineStr">
        <is>
          <t>test100k</t>
        </is>
      </c>
      <c r="F41" s="14" t="inlineStr">
        <is>
          <t>T1</t>
        </is>
      </c>
      <c r="G41" s="15" t="n">
        <v>20000</v>
      </c>
      <c r="H41" s="16" t="n">
        <v>0.9791</v>
      </c>
      <c r="I41" s="16" t="n">
        <v>0.964</v>
      </c>
      <c r="J41" s="16" t="n">
        <v>0.9036999999999999</v>
      </c>
      <c r="K41" s="17">
        <f>IF(OR(L41="",L41=0),"",1000/L41)</f>
        <v/>
      </c>
      <c r="L41" s="18" t="n">
        <v>1.651</v>
      </c>
      <c r="M41" s="14" t="inlineStr">
        <is>
          <t>R1.38</t>
        </is>
      </c>
      <c r="N41" s="19">
        <f>IFERROR(IF(P41&lt;&gt;"",IF(INDEX($P$2:$P$417,MATCH($M41,$A$2:$A$417,0))="","",P41-INDEX($P$2:$P$417,MATCH($M41,$A$2:$A$417,0))),IF(H41&lt;&gt;"",IF(INDEX($H$2:$H$417,MATCH($M41,$A$2:$A$417,0))="","",H41-INDEX($H$2:$H$417,MATCH($M41,$A$2:$A$417,0))),IF(O41&lt;&gt;"",IF(INDEX($O$2:$O$417,MATCH($M41,$A$2:$A$417,0))="","",O41-INDEX($O$2:$O$417,MATCH($M41,$A$2:$A$417,0))),IF(Q41&lt;&gt;"",IF(INDEX($Q$2:$Q$417,MATCH($M41,$A$2:$A$417,0))="","",Q41-INDEX($Q$2:$Q$417,MATCH($M41,$A$2:$A$417,0))),"")))),"")</f>
        <v/>
      </c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20" t="n"/>
      <c r="Z41" s="20" t="n"/>
      <c r="AA41" s="16" t="n"/>
      <c r="AB41" s="21" t="inlineStr">
        <is>
          <t>distillation variant d17_direct: {"pca_dims": "256", "sif_coefficient": "0.0001", "quantize_to": "float16"}; dim 256, vocab 50254</t>
        </is>
      </c>
      <c r="AC41" s="21" t="n"/>
    </row>
    <row r="42" ht="28" customHeight="1">
      <c r="A42" s="2" t="inlineStr">
        <is>
          <t>R1.41</t>
        </is>
      </c>
      <c r="B42" s="3" t="n">
        <v>46254</v>
      </c>
      <c r="C42" s="2" t="inlineStr">
        <is>
          <t>sensitive</t>
        </is>
      </c>
      <c r="D42" s="2" t="inlineStr">
        <is>
          <t>d17_fp32 + standard head</t>
        </is>
      </c>
      <c r="E42" s="2" t="inlineStr">
        <is>
          <t>test100k</t>
        </is>
      </c>
      <c r="F42" s="4" t="inlineStr">
        <is>
          <t>T1</t>
        </is>
      </c>
      <c r="G42" s="5" t="n">
        <v>20000</v>
      </c>
      <c r="H42" s="6" t="n">
        <v>0.9794</v>
      </c>
      <c r="I42" s="6" t="n">
        <v>0.9637</v>
      </c>
      <c r="J42" s="6" t="n">
        <v>0.9035</v>
      </c>
      <c r="K42" s="7">
        <f>IF(OR(L42="",L42=0),"",1000/L42)</f>
        <v/>
      </c>
      <c r="L42" s="8" t="n">
        <v>1.365</v>
      </c>
      <c r="M42" s="4" t="inlineStr">
        <is>
          <t>R1.38</t>
        </is>
      </c>
      <c r="N42" s="9">
        <f>IFERROR(IF(P42&lt;&gt;"",IF(INDEX($P$2:$P$417,MATCH($M42,$A$2:$A$417,0))="","",P42-INDEX($P$2:$P$417,MATCH($M42,$A$2:$A$417,0))),IF(H42&lt;&gt;"",IF(INDEX($H$2:$H$417,MATCH($M42,$A$2:$A$417,0))="","",H42-INDEX($H$2:$H$417,MATCH($M42,$A$2:$A$417,0))),IF(O42&lt;&gt;"",IF(INDEX($O$2:$O$417,MATCH($M42,$A$2:$A$417,0))="","",O42-INDEX($O$2:$O$417,MATCH($M42,$A$2:$A$417,0))),IF(Q42&lt;&gt;"",IF(INDEX($Q$2:$Q$417,MATCH($M42,$A$2:$A$417,0))="","",Q42-INDEX($Q$2:$Q$417,MATCH($M42,$A$2:$A$417,0))),"")))),"")</f>
        <v/>
      </c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10" t="n"/>
      <c r="Z42" s="10" t="n"/>
      <c r="AA42" s="6" t="n"/>
      <c r="AB42" s="11" t="inlineStr">
        <is>
          <t>distillation variant d17_fp32: {"pca_dims": "256", "quantize_to": "float32"}; dim 256, vocab 50254</t>
        </is>
      </c>
      <c r="AC42" s="11" t="n"/>
    </row>
    <row r="43" ht="28" customHeight="1">
      <c r="A43" s="12" t="inlineStr">
        <is>
          <t>R1.42</t>
        </is>
      </c>
      <c r="B43" s="13" t="n">
        <v>46254</v>
      </c>
      <c r="C43" s="12" t="inlineStr">
        <is>
          <t>sensitive</t>
        </is>
      </c>
      <c r="D43" s="12" t="inlineStr">
        <is>
          <t>d17_nopca + standard head</t>
        </is>
      </c>
      <c r="E43" s="12" t="inlineStr">
        <is>
          <t>test100k</t>
        </is>
      </c>
      <c r="F43" s="14" t="inlineStr">
        <is>
          <t>T1</t>
        </is>
      </c>
      <c r="G43" s="15" t="n">
        <v>20000</v>
      </c>
      <c r="H43" s="16" t="n">
        <v>0.8104</v>
      </c>
      <c r="I43" s="16" t="n">
        <v>0.7333999999999999</v>
      </c>
      <c r="J43" s="16" t="n">
        <v>0.5611</v>
      </c>
      <c r="K43" s="17">
        <f>IF(OR(L43="",L43=0),"",1000/L43)</f>
        <v/>
      </c>
      <c r="L43" s="18" t="n">
        <v>1.596</v>
      </c>
      <c r="M43" s="14" t="inlineStr">
        <is>
          <t>R1.38</t>
        </is>
      </c>
      <c r="N43" s="19">
        <f>IFERROR(IF(P43&lt;&gt;"",IF(INDEX($P$2:$P$417,MATCH($M43,$A$2:$A$417,0))="","",P43-INDEX($P$2:$P$417,MATCH($M43,$A$2:$A$417,0))),IF(H43&lt;&gt;"",IF(INDEX($H$2:$H$417,MATCH($M43,$A$2:$A$417,0))="","",H43-INDEX($H$2:$H$417,MATCH($M43,$A$2:$A$417,0))),IF(O43&lt;&gt;"",IF(INDEX($O$2:$O$417,MATCH($M43,$A$2:$A$417,0))="","",O43-INDEX($O$2:$O$417,MATCH($M43,$A$2:$A$417,0))),IF(Q43&lt;&gt;"",IF(INDEX($Q$2:$Q$417,MATCH($M43,$A$2:$A$417,0))="","",Q43-INDEX($Q$2:$Q$417,MATCH($M43,$A$2:$A$417,0))),"")))),"")</f>
        <v/>
      </c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20" t="n"/>
      <c r="Z43" s="20" t="n"/>
      <c r="AA43" s="16" t="n"/>
      <c r="AB43" s="21" t="inlineStr">
        <is>
          <t>distillation variant d17_nopca: {"pca_dims": "None"}; dim 256, vocab 50254</t>
        </is>
      </c>
      <c r="AC43" s="21" t="n"/>
    </row>
    <row r="44" ht="28" customHeight="1">
      <c r="A44" s="2" t="inlineStr">
        <is>
          <t>R1.43</t>
        </is>
      </c>
      <c r="B44" s="3" t="n">
        <v>46254</v>
      </c>
      <c r="C44" s="2" t="inlineStr">
        <is>
          <t>sensitive</t>
        </is>
      </c>
      <c r="D44" s="2" t="inlineStr">
        <is>
          <t>d17_pca128 + standard head</t>
        </is>
      </c>
      <c r="E44" s="2" t="inlineStr">
        <is>
          <t>test100k</t>
        </is>
      </c>
      <c r="F44" s="4" t="inlineStr">
        <is>
          <t>T1</t>
        </is>
      </c>
      <c r="G44" s="5" t="n">
        <v>20000</v>
      </c>
      <c r="H44" s="6" t="n">
        <v>0.9757</v>
      </c>
      <c r="I44" s="6" t="n">
        <v>0.9595</v>
      </c>
      <c r="J44" s="6" t="n">
        <v>0.8966</v>
      </c>
      <c r="K44" s="7">
        <f>IF(OR(L44="",L44=0),"",1000/L44)</f>
        <v/>
      </c>
      <c r="L44" s="8" t="n">
        <v>1.45</v>
      </c>
      <c r="M44" s="4" t="inlineStr">
        <is>
          <t>R1.38</t>
        </is>
      </c>
      <c r="N44" s="9">
        <f>IFERROR(IF(P44&lt;&gt;"",IF(INDEX($P$2:$P$417,MATCH($M44,$A$2:$A$417,0))="","",P44-INDEX($P$2:$P$417,MATCH($M44,$A$2:$A$417,0))),IF(H44&lt;&gt;"",IF(INDEX($H$2:$H$417,MATCH($M44,$A$2:$A$417,0))="","",H44-INDEX($H$2:$H$417,MATCH($M44,$A$2:$A$417,0))),IF(O44&lt;&gt;"",IF(INDEX($O$2:$O$417,MATCH($M44,$A$2:$A$417,0))="","",O44-INDEX($O$2:$O$417,MATCH($M44,$A$2:$A$417,0))),IF(Q44&lt;&gt;"",IF(INDEX($Q$2:$Q$417,MATCH($M44,$A$2:$A$417,0))="","",Q44-INDEX($Q$2:$Q$417,MATCH($M44,$A$2:$A$417,0))),"")))),"")</f>
        <v/>
      </c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10" t="n"/>
      <c r="Z44" s="10" t="n"/>
      <c r="AA44" s="6" t="n"/>
      <c r="AB44" s="11" t="inlineStr">
        <is>
          <t>distillation variant d17_pca128: {"pca_dims": "128"}; dim 128, vocab 50254</t>
        </is>
      </c>
      <c r="AC44" s="11" t="n"/>
    </row>
    <row r="45" ht="28" customHeight="1">
      <c r="A45" s="12" t="inlineStr">
        <is>
          <t>R1.44</t>
        </is>
      </c>
      <c r="B45" s="13" t="n">
        <v>46254</v>
      </c>
      <c r="C45" s="12" t="inlineStr">
        <is>
          <t>sensitive</t>
        </is>
      </c>
      <c r="D45" s="12" t="inlineStr">
        <is>
          <t>d17_pca64 + standard head</t>
        </is>
      </c>
      <c r="E45" s="12" t="inlineStr">
        <is>
          <t>test100k</t>
        </is>
      </c>
      <c r="F45" s="14" t="inlineStr">
        <is>
          <t>T1</t>
        </is>
      </c>
      <c r="G45" s="15" t="n">
        <v>20000</v>
      </c>
      <c r="H45" s="16" t="n">
        <v>0.9736</v>
      </c>
      <c r="I45" s="16" t="n">
        <v>0.9557</v>
      </c>
      <c r="J45" s="16" t="n">
        <v>0.8867</v>
      </c>
      <c r="K45" s="17">
        <f>IF(OR(L45="",L45=0),"",1000/L45)</f>
        <v/>
      </c>
      <c r="L45" s="18" t="n">
        <v>1.328</v>
      </c>
      <c r="M45" s="14" t="inlineStr">
        <is>
          <t>R1.38</t>
        </is>
      </c>
      <c r="N45" s="19">
        <f>IFERROR(IF(P45&lt;&gt;"",IF(INDEX($P$2:$P$417,MATCH($M45,$A$2:$A$417,0))="","",P45-INDEX($P$2:$P$417,MATCH($M45,$A$2:$A$417,0))),IF(H45&lt;&gt;"",IF(INDEX($H$2:$H$417,MATCH($M45,$A$2:$A$417,0))="","",H45-INDEX($H$2:$H$417,MATCH($M45,$A$2:$A$417,0))),IF(O45&lt;&gt;"",IF(INDEX($O$2:$O$417,MATCH($M45,$A$2:$A$417,0))="","",O45-INDEX($O$2:$O$417,MATCH($M45,$A$2:$A$417,0))),IF(Q45&lt;&gt;"",IF(INDEX($Q$2:$Q$417,MATCH($M45,$A$2:$A$417,0))="","",Q45-INDEX($Q$2:$Q$417,MATCH($M45,$A$2:$A$417,0))),"")))),"")</f>
        <v/>
      </c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20" t="n"/>
      <c r="Z45" s="20" t="n"/>
      <c r="AA45" s="16" t="n"/>
      <c r="AB45" s="21" t="inlineStr">
        <is>
          <t>distillation variant d17_pca64: {"pca_dims": "64"}; dim 64, vocab 50254</t>
        </is>
      </c>
      <c r="AC45" s="21" t="n"/>
    </row>
    <row r="46" ht="28" customHeight="1">
      <c r="A46" s="2" t="inlineStr">
        <is>
          <t>R1.45</t>
        </is>
      </c>
      <c r="B46" s="3" t="n">
        <v>46254</v>
      </c>
      <c r="C46" s="2" t="inlineStr">
        <is>
          <t>sensitive</t>
        </is>
      </c>
      <c r="D46" s="2" t="inlineStr">
        <is>
          <t>d17_pcaauto + standard head</t>
        </is>
      </c>
      <c r="E46" s="2" t="inlineStr">
        <is>
          <t>test100k</t>
        </is>
      </c>
      <c r="F46" s="4" t="inlineStr">
        <is>
          <t>T1</t>
        </is>
      </c>
      <c r="G46" s="5" t="n">
        <v>20000</v>
      </c>
      <c r="H46" s="6" t="n">
        <v>0.9791</v>
      </c>
      <c r="I46" s="6" t="n">
        <v>0.964</v>
      </c>
      <c r="J46" s="6" t="n">
        <v>0.9036999999999999</v>
      </c>
      <c r="K46" s="7">
        <f>IF(OR(L46="",L46=0),"",1000/L46)</f>
        <v/>
      </c>
      <c r="L46" s="8" t="n">
        <v>1.593</v>
      </c>
      <c r="M46" s="4" t="inlineStr">
        <is>
          <t>R1.38</t>
        </is>
      </c>
      <c r="N46" s="9">
        <f>IFERROR(IF(P46&lt;&gt;"",IF(INDEX($P$2:$P$417,MATCH($M46,$A$2:$A$417,0))="","",P46-INDEX($P$2:$P$417,MATCH($M46,$A$2:$A$417,0))),IF(H46&lt;&gt;"",IF(INDEX($H$2:$H$417,MATCH($M46,$A$2:$A$417,0))="","",H46-INDEX($H$2:$H$417,MATCH($M46,$A$2:$A$417,0))),IF(O46&lt;&gt;"",IF(INDEX($O$2:$O$417,MATCH($M46,$A$2:$A$417,0))="","",O46-INDEX($O$2:$O$417,MATCH($M46,$A$2:$A$417,0))),IF(Q46&lt;&gt;"",IF(INDEX($Q$2:$Q$417,MATCH($M46,$A$2:$A$417,0))="","",Q46-INDEX($Q$2:$Q$417,MATCH($M46,$A$2:$A$417,0))),"")))),"")</f>
        <v/>
      </c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10" t="n"/>
      <c r="Z46" s="10" t="n"/>
      <c r="AA46" s="6" t="n"/>
      <c r="AB46" s="11" t="inlineStr">
        <is>
          <t>distillation variant d17_pcaauto: {"pca_dims": "auto"}; dim 256, vocab 50254</t>
        </is>
      </c>
      <c r="AC46" s="11" t="n"/>
    </row>
    <row r="47" ht="28" customHeight="1">
      <c r="A47" s="12" t="inlineStr">
        <is>
          <t>R1.46</t>
        </is>
      </c>
      <c r="B47" s="13" t="n">
        <v>46254</v>
      </c>
      <c r="C47" s="12" t="inlineStr">
        <is>
          <t>sensitive</t>
        </is>
      </c>
      <c r="D47" s="12" t="inlineStr">
        <is>
          <t>d17_poolfirst + standard head</t>
        </is>
      </c>
      <c r="E47" s="12" t="inlineStr">
        <is>
          <t>test100k</t>
        </is>
      </c>
      <c r="F47" s="14" t="inlineStr">
        <is>
          <t>T1</t>
        </is>
      </c>
      <c r="G47" s="15" t="n">
        <v>20000</v>
      </c>
      <c r="H47" s="16" t="n">
        <v>0.9778</v>
      </c>
      <c r="I47" s="16" t="n">
        <v>0.96</v>
      </c>
      <c r="J47" s="16" t="n">
        <v>0.8901</v>
      </c>
      <c r="K47" s="17">
        <f>IF(OR(L47="",L47=0),"",1000/L47)</f>
        <v/>
      </c>
      <c r="L47" s="18" t="n">
        <v>1.596</v>
      </c>
      <c r="M47" s="14" t="inlineStr">
        <is>
          <t>R1.38</t>
        </is>
      </c>
      <c r="N47" s="19">
        <f>IFERROR(IF(P47&lt;&gt;"",IF(INDEX($P$2:$P$417,MATCH($M47,$A$2:$A$417,0))="","",P47-INDEX($P$2:$P$417,MATCH($M47,$A$2:$A$417,0))),IF(H47&lt;&gt;"",IF(INDEX($H$2:$H$417,MATCH($M47,$A$2:$A$417,0))="","",H47-INDEX($H$2:$H$417,MATCH($M47,$A$2:$A$417,0))),IF(O47&lt;&gt;"",IF(INDEX($O$2:$O$417,MATCH($M47,$A$2:$A$417,0))="","",O47-INDEX($O$2:$O$417,MATCH($M47,$A$2:$A$417,0))),IF(Q47&lt;&gt;"",IF(INDEX($Q$2:$Q$417,MATCH($M47,$A$2:$A$417,0))="","",Q47-INDEX($Q$2:$Q$417,MATCH($M47,$A$2:$A$417,0))),"")))),"")</f>
        <v/>
      </c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20" t="n"/>
      <c r="Z47" s="20" t="n"/>
      <c r="AA47" s="16" t="n"/>
      <c r="AB47" s="21" t="inlineStr">
        <is>
          <t>distillation variant d17_poolfirst: {"pca_dims": "256", "pooling": "first"}; dim 256, vocab 50254</t>
        </is>
      </c>
      <c r="AC47" s="21" t="n"/>
    </row>
    <row r="48" ht="28" customHeight="1">
      <c r="A48" s="2" t="inlineStr">
        <is>
          <t>R1.47</t>
        </is>
      </c>
      <c r="B48" s="3" t="n">
        <v>46254</v>
      </c>
      <c r="C48" s="2" t="inlineStr">
        <is>
          <t>sensitive</t>
        </is>
      </c>
      <c r="D48" s="2" t="inlineStr">
        <is>
          <t>d17_sif1e3 + standard head</t>
        </is>
      </c>
      <c r="E48" s="2" t="inlineStr">
        <is>
          <t>test100k</t>
        </is>
      </c>
      <c r="F48" s="4" t="inlineStr">
        <is>
          <t>T1</t>
        </is>
      </c>
      <c r="G48" s="5" t="n">
        <v>20000</v>
      </c>
      <c r="H48" s="6" t="n">
        <v>0.9771</v>
      </c>
      <c r="I48" s="6" t="n">
        <v>0.9566</v>
      </c>
      <c r="J48" s="6" t="n">
        <v>0.8913</v>
      </c>
      <c r="K48" s="7">
        <f>IF(OR(L48="",L48=0),"",1000/L48)</f>
        <v/>
      </c>
      <c r="L48" s="8" t="n">
        <v>1.58</v>
      </c>
      <c r="M48" s="4" t="inlineStr">
        <is>
          <t>R1.38</t>
        </is>
      </c>
      <c r="N48" s="9">
        <f>IFERROR(IF(P48&lt;&gt;"",IF(INDEX($P$2:$P$417,MATCH($M48,$A$2:$A$417,0))="","",P48-INDEX($P$2:$P$417,MATCH($M48,$A$2:$A$417,0))),IF(H48&lt;&gt;"",IF(INDEX($H$2:$H$417,MATCH($M48,$A$2:$A$417,0))="","",H48-INDEX($H$2:$H$417,MATCH($M48,$A$2:$A$417,0))),IF(O48&lt;&gt;"",IF(INDEX($O$2:$O$417,MATCH($M48,$A$2:$A$417,0))="","",O48-INDEX($O$2:$O$417,MATCH($M48,$A$2:$A$417,0))),IF(Q48&lt;&gt;"",IF(INDEX($Q$2:$Q$417,MATCH($M48,$A$2:$A$417,0))="","",Q48-INDEX($Q$2:$Q$417,MATCH($M48,$A$2:$A$417,0))),"")))),"")</f>
        <v/>
      </c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10" t="n"/>
      <c r="Z48" s="10" t="n"/>
      <c r="AA48" s="6" t="n"/>
      <c r="AB48" s="11" t="inlineStr">
        <is>
          <t>distillation variant d17_sif1e3: {"pca_dims": "256", "sif_coefficient": "0.001"}; dim 256, vocab 50254</t>
        </is>
      </c>
      <c r="AC48" s="11" t="n"/>
    </row>
    <row r="49" ht="28" customHeight="1">
      <c r="A49" s="12" t="inlineStr">
        <is>
          <t>R1.48</t>
        </is>
      </c>
      <c r="B49" s="13" t="n">
        <v>46254</v>
      </c>
      <c r="C49" s="12" t="inlineStr">
        <is>
          <t>sensitive</t>
        </is>
      </c>
      <c r="D49" s="12" t="inlineStr">
        <is>
          <t>d17_sif1e5 + standard head</t>
        </is>
      </c>
      <c r="E49" s="12" t="inlineStr">
        <is>
          <t>test100k</t>
        </is>
      </c>
      <c r="F49" s="14" t="inlineStr">
        <is>
          <t>T1</t>
        </is>
      </c>
      <c r="G49" s="15" t="n">
        <v>20000</v>
      </c>
      <c r="H49" s="16" t="n">
        <v>0.9797</v>
      </c>
      <c r="I49" s="16" t="n">
        <v>0.9656</v>
      </c>
      <c r="J49" s="16" t="n">
        <v>0.9141</v>
      </c>
      <c r="K49" s="17">
        <f>IF(OR(L49="",L49=0),"",1000/L49)</f>
        <v/>
      </c>
      <c r="L49" s="18" t="n">
        <v>1.664</v>
      </c>
      <c r="M49" s="14" t="inlineStr">
        <is>
          <t>R1.38</t>
        </is>
      </c>
      <c r="N49" s="19">
        <f>IFERROR(IF(P49&lt;&gt;"",IF(INDEX($P$2:$P$417,MATCH($M49,$A$2:$A$417,0))="","",P49-INDEX($P$2:$P$417,MATCH($M49,$A$2:$A$417,0))),IF(H49&lt;&gt;"",IF(INDEX($H$2:$H$417,MATCH($M49,$A$2:$A$417,0))="","",H49-INDEX($H$2:$H$417,MATCH($M49,$A$2:$A$417,0))),IF(O49&lt;&gt;"",IF(INDEX($O$2:$O$417,MATCH($M49,$A$2:$A$417,0))="","",O49-INDEX($O$2:$O$417,MATCH($M49,$A$2:$A$417,0))),IF(Q49&lt;&gt;"",IF(INDEX($Q$2:$Q$417,MATCH($M49,$A$2:$A$417,0))="","",Q49-INDEX($Q$2:$Q$417,MATCH($M49,$A$2:$A$417,0))),"")))),"")</f>
        <v/>
      </c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20" t="n"/>
      <c r="Z49" s="20" t="n"/>
      <c r="AA49" s="16" t="n"/>
      <c r="AB49" s="21" t="inlineStr">
        <is>
          <t>distillation variant d17_sif1e5: {"pca_dims": "256", "sif_coefficient": "1e-05"}; dim 256, vocab 50254</t>
        </is>
      </c>
      <c r="AC49" s="21" t="n"/>
    </row>
    <row r="50" ht="28" customHeight="1">
      <c r="A50" s="2" t="inlineStr">
        <is>
          <t>R1.49</t>
        </is>
      </c>
      <c r="B50" s="3" t="n">
        <v>46254</v>
      </c>
      <c r="C50" s="2" t="inlineStr">
        <is>
          <t>sensitive</t>
        </is>
      </c>
      <c r="D50" s="2" t="inlineStr">
        <is>
          <t>d17_sifnone + standard head</t>
        </is>
      </c>
      <c r="E50" s="2" t="inlineStr">
        <is>
          <t>test100k</t>
        </is>
      </c>
      <c r="F50" s="4" t="inlineStr">
        <is>
          <t>T1</t>
        </is>
      </c>
      <c r="G50" s="5" t="n">
        <v>20000</v>
      </c>
      <c r="H50" s="6" t="n">
        <v>0.974</v>
      </c>
      <c r="I50" s="6" t="n">
        <v>0.9524</v>
      </c>
      <c r="J50" s="6" t="n">
        <v>0.8891</v>
      </c>
      <c r="K50" s="7">
        <f>IF(OR(L50="",L50=0),"",1000/L50)</f>
        <v/>
      </c>
      <c r="L50" s="8" t="n">
        <v>1.604</v>
      </c>
      <c r="M50" s="4" t="inlineStr">
        <is>
          <t>R1.38</t>
        </is>
      </c>
      <c r="N50" s="9">
        <f>IFERROR(IF(P50&lt;&gt;"",IF(INDEX($P$2:$P$417,MATCH($M50,$A$2:$A$417,0))="","",P50-INDEX($P$2:$P$417,MATCH($M50,$A$2:$A$417,0))),IF(H50&lt;&gt;"",IF(INDEX($H$2:$H$417,MATCH($M50,$A$2:$A$417,0))="","",H50-INDEX($H$2:$H$417,MATCH($M50,$A$2:$A$417,0))),IF(O50&lt;&gt;"",IF(INDEX($O$2:$O$417,MATCH($M50,$A$2:$A$417,0))="","",O50-INDEX($O$2:$O$417,MATCH($M50,$A$2:$A$417,0))),IF(Q50&lt;&gt;"",IF(INDEX($Q$2:$Q$417,MATCH($M50,$A$2:$A$417,0))="","",Q50-INDEX($Q$2:$Q$417,MATCH($M50,$A$2:$A$417,0))),"")))),"")</f>
        <v/>
      </c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10" t="n"/>
      <c r="Z50" s="10" t="n"/>
      <c r="AA50" s="6" t="n"/>
      <c r="AB50" s="11" t="inlineStr">
        <is>
          <t>distillation variant d17_sifnone: {"pca_dims": "256", "sif_coefficient": "None"}; dim 256, vocab 50254</t>
        </is>
      </c>
      <c r="AC50" s="11" t="n"/>
    </row>
    <row r="51" ht="28" customHeight="1">
      <c r="A51" s="12" t="inlineStr">
        <is>
          <t>R1.50</t>
        </is>
      </c>
      <c r="B51" s="13" t="n">
        <v>46254</v>
      </c>
      <c r="C51" s="12" t="inlineStr">
        <is>
          <t>sensitive</t>
        </is>
      </c>
      <c r="D51" s="12" t="inlineStr">
        <is>
          <t>d17_vocab + standard head</t>
        </is>
      </c>
      <c r="E51" s="12" t="inlineStr">
        <is>
          <t>test100k</t>
        </is>
      </c>
      <c r="F51" s="14" t="inlineStr">
        <is>
          <t>T1</t>
        </is>
      </c>
      <c r="G51" s="15" t="n">
        <v>20000</v>
      </c>
      <c r="H51" s="16" t="n">
        <v>0.9799</v>
      </c>
      <c r="I51" s="16" t="n">
        <v>0.9635</v>
      </c>
      <c r="J51" s="16" t="n">
        <v>0.901</v>
      </c>
      <c r="K51" s="17">
        <f>IF(OR(L51="",L51=0),"",1000/L51)</f>
        <v/>
      </c>
      <c r="L51" s="18" t="n">
        <v>1.627</v>
      </c>
      <c r="M51" s="14" t="inlineStr">
        <is>
          <t>R1.38</t>
        </is>
      </c>
      <c r="N51" s="19">
        <f>IFERROR(IF(P51&lt;&gt;"",IF(INDEX($P$2:$P$417,MATCH($M51,$A$2:$A$417,0))="","",P51-INDEX($P$2:$P$417,MATCH($M51,$A$2:$A$417,0))),IF(H51&lt;&gt;"",IF(INDEX($H$2:$H$417,MATCH($M51,$A$2:$A$417,0))="","",H51-INDEX($H$2:$H$417,MATCH($M51,$A$2:$A$417,0))),IF(O51&lt;&gt;"",IF(INDEX($O$2:$O$417,MATCH($M51,$A$2:$A$417,0))="","",O51-INDEX($O$2:$O$417,MATCH($M51,$A$2:$A$417,0))),IF(Q51&lt;&gt;"",IF(INDEX($Q$2:$Q$417,MATCH($M51,$A$2:$A$417,0))="","",Q51-INDEX($Q$2:$Q$417,MATCH($M51,$A$2:$A$417,0))),"")))),"")</f>
        <v/>
      </c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20" t="n"/>
      <c r="Z51" s="20" t="n"/>
      <c r="AA51" s="16" t="n"/>
      <c r="AB51" s="21" t="inlineStr">
        <is>
          <t>distillation variant d17_vocab: {"pca_dims": "256"}; dim 256, vocab 50755</t>
        </is>
      </c>
      <c r="AC51" s="21" t="n"/>
    </row>
    <row r="52" ht="28" customHeight="1">
      <c r="A52" s="2" t="inlineStr">
        <is>
          <t>R1.51</t>
        </is>
      </c>
      <c r="B52" s="3" t="n">
        <v>46254</v>
      </c>
      <c r="C52" s="2" t="inlineStr">
        <is>
          <t>sensitive</t>
        </is>
      </c>
      <c r="D52" s="2" t="inlineStr">
        <is>
          <t>d32_base + standard head</t>
        </is>
      </c>
      <c r="E52" s="2" t="inlineStr">
        <is>
          <t>test100k</t>
        </is>
      </c>
      <c r="F52" s="4" t="inlineStr">
        <is>
          <t>T1</t>
        </is>
      </c>
      <c r="G52" s="5" t="n">
        <v>20000</v>
      </c>
      <c r="H52" s="6" t="n">
        <v>0.9784</v>
      </c>
      <c r="I52" s="6" t="n">
        <v>0.9636</v>
      </c>
      <c r="J52" s="6" t="n">
        <v>0.9028999999999999</v>
      </c>
      <c r="K52" s="7">
        <f>IF(OR(L52="",L52=0),"",1000/L52)</f>
        <v/>
      </c>
      <c r="L52" s="8" t="n">
        <v>1.749</v>
      </c>
      <c r="M52" s="4" t="inlineStr">
        <is>
          <t>R1.38</t>
        </is>
      </c>
      <c r="N52" s="9">
        <f>IFERROR(IF(P52&lt;&gt;"",IF(INDEX($P$2:$P$417,MATCH($M52,$A$2:$A$417,0))="","",P52-INDEX($P$2:$P$417,MATCH($M52,$A$2:$A$417,0))),IF(H52&lt;&gt;"",IF(INDEX($H$2:$H$417,MATCH($M52,$A$2:$A$417,0))="","",H52-INDEX($H$2:$H$417,MATCH($M52,$A$2:$A$417,0))),IF(O52&lt;&gt;"",IF(INDEX($O$2:$O$417,MATCH($M52,$A$2:$A$417,0))="","",O52-INDEX($O$2:$O$417,MATCH($M52,$A$2:$A$417,0))),IF(Q52&lt;&gt;"",IF(INDEX($Q$2:$Q$417,MATCH($M52,$A$2:$A$417,0))="","",Q52-INDEX($Q$2:$Q$417,MATCH($M52,$A$2:$A$417,0))),"")))),"")</f>
        <v/>
      </c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10" t="n"/>
      <c r="Z52" s="10" t="n"/>
      <c r="AA52" s="6" t="n"/>
      <c r="AB52" s="11" t="inlineStr">
        <is>
          <t>distillation variant d32_base: {"pca_dims": "384"}; dim 384, vocab 50254</t>
        </is>
      </c>
      <c r="AC52" s="11" t="n"/>
    </row>
    <row r="53" ht="28" customHeight="1">
      <c r="A53" s="12" t="inlineStr">
        <is>
          <t>R1.52</t>
        </is>
      </c>
      <c r="B53" s="13" t="n">
        <v>46254</v>
      </c>
      <c r="C53" s="12" t="inlineStr">
        <is>
          <t>sensitive</t>
        </is>
      </c>
      <c r="D53" s="12" t="inlineStr">
        <is>
          <t>d68_base + standard head</t>
        </is>
      </c>
      <c r="E53" s="12" t="inlineStr">
        <is>
          <t>test100k</t>
        </is>
      </c>
      <c r="F53" s="14" t="inlineStr">
        <is>
          <t>T1</t>
        </is>
      </c>
      <c r="G53" s="15" t="n">
        <v>20000</v>
      </c>
      <c r="H53" s="16" t="n">
        <v>0.9813</v>
      </c>
      <c r="I53" s="16" t="n">
        <v>0.9678</v>
      </c>
      <c r="J53" s="16" t="n">
        <v>0.9127999999999999</v>
      </c>
      <c r="K53" s="17">
        <f>IF(OR(L53="",L53=0),"",1000/L53)</f>
        <v/>
      </c>
      <c r="L53" s="18" t="n">
        <v>1.91</v>
      </c>
      <c r="M53" s="14" t="inlineStr">
        <is>
          <t>R1.38</t>
        </is>
      </c>
      <c r="N53" s="19">
        <f>IFERROR(IF(P53&lt;&gt;"",IF(INDEX($P$2:$P$417,MATCH($M53,$A$2:$A$417,0))="","",P53-INDEX($P$2:$P$417,MATCH($M53,$A$2:$A$417,0))),IF(H53&lt;&gt;"",IF(INDEX($H$2:$H$417,MATCH($M53,$A$2:$A$417,0))="","",H53-INDEX($H$2:$H$417,MATCH($M53,$A$2:$A$417,0))),IF(O53&lt;&gt;"",IF(INDEX($O$2:$O$417,MATCH($M53,$A$2:$A$417,0))="","",O53-INDEX($O$2:$O$417,MATCH($M53,$A$2:$A$417,0))),IF(Q53&lt;&gt;"",IF(INDEX($Q$2:$Q$417,MATCH($M53,$A$2:$A$417,0))="","",Q53-INDEX($Q$2:$Q$417,MATCH($M53,$A$2:$A$417,0))),"")))),"")</f>
        <v/>
      </c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20" t="n"/>
      <c r="Z53" s="20" t="n"/>
      <c r="AA53" s="16" t="n"/>
      <c r="AB53" s="21" t="inlineStr">
        <is>
          <t>distillation variant d68_base: {"pca_dims": "512"}; dim 512, vocab 50254</t>
        </is>
      </c>
      <c r="AC53" s="21" t="n"/>
    </row>
    <row r="54" ht="28" customHeight="1">
      <c r="A54" s="2" t="inlineStr">
        <is>
          <t>R1.53</t>
        </is>
      </c>
      <c r="B54" s="3" t="n">
        <v>46254</v>
      </c>
      <c r="C54" s="2" t="inlineStr">
        <is>
          <t>sensitive</t>
        </is>
      </c>
      <c r="D54" s="2" t="inlineStr">
        <is>
          <t>tl17_base + standard head</t>
        </is>
      </c>
      <c r="E54" s="2" t="inlineStr">
        <is>
          <t>test100k</t>
        </is>
      </c>
      <c r="F54" s="4" t="inlineStr">
        <is>
          <t>T1</t>
        </is>
      </c>
      <c r="G54" s="5" t="n">
        <v>20000</v>
      </c>
      <c r="H54" s="6" t="n">
        <v>0.9882</v>
      </c>
      <c r="I54" s="6" t="n">
        <v>0.9809</v>
      </c>
      <c r="J54" s="6" t="n">
        <v>0.9457</v>
      </c>
      <c r="K54" s="7">
        <f>IF(OR(L54="",L54=0),"",1000/L54)</f>
        <v/>
      </c>
      <c r="L54" s="8" t="n">
        <v>1.341</v>
      </c>
      <c r="M54" s="4" t="inlineStr">
        <is>
          <t>R1.38</t>
        </is>
      </c>
      <c r="N54" s="9">
        <f>IFERROR(IF(P54&lt;&gt;"",IF(INDEX($P$2:$P$417,MATCH($M54,$A$2:$A$417,0))="","",P54-INDEX($P$2:$P$417,MATCH($M54,$A$2:$A$417,0))),IF(H54&lt;&gt;"",IF(INDEX($H$2:$H$417,MATCH($M54,$A$2:$A$417,0))="","",H54-INDEX($H$2:$H$417,MATCH($M54,$A$2:$A$417,0))),IF(O54&lt;&gt;"",IF(INDEX($O$2:$O$417,MATCH($M54,$A$2:$A$417,0))="","",O54-INDEX($O$2:$O$417,MATCH($M54,$A$2:$A$417,0))),IF(Q54&lt;&gt;"",IF(INDEX($Q$2:$Q$417,MATCH($M54,$A$2:$A$417,0))="","",Q54-INDEX($Q$2:$Q$417,MATCH($M54,$A$2:$A$417,0))),"")))),"")</f>
        <v/>
      </c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10" t="n"/>
      <c r="Z54" s="10" t="n"/>
      <c r="AA54" s="6" t="n"/>
      <c r="AB54" s="11" t="inlineStr">
        <is>
          <t>distillation variant tl17_base: "tokenlearn (POTION-style) post-training on the PII train split"; dim 256, vocab 50254</t>
        </is>
      </c>
      <c r="AC54" s="11" t="n"/>
    </row>
    <row r="55" ht="28" customHeight="1">
      <c r="A55" s="12" t="inlineStr">
        <is>
          <t>R1.54</t>
        </is>
      </c>
      <c r="B55" s="13" t="n">
        <v>46254</v>
      </c>
      <c r="C55" s="12" t="inlineStr">
        <is>
          <t>sensitive</t>
        </is>
      </c>
      <c r="D55" s="12" t="inlineStr">
        <is>
          <t>tl17_vocab + standard head</t>
        </is>
      </c>
      <c r="E55" s="12" t="inlineStr">
        <is>
          <t>test100k</t>
        </is>
      </c>
      <c r="F55" s="14" t="inlineStr">
        <is>
          <t>T1</t>
        </is>
      </c>
      <c r="G55" s="15" t="n">
        <v>20000</v>
      </c>
      <c r="H55" s="16" t="n">
        <v>0.9883000000000001</v>
      </c>
      <c r="I55" s="16" t="n">
        <v>0.9806</v>
      </c>
      <c r="J55" s="16" t="n">
        <v>0.9466</v>
      </c>
      <c r="K55" s="17">
        <f>IF(OR(L55="",L55=0),"",1000/L55)</f>
        <v/>
      </c>
      <c r="L55" s="18" t="n">
        <v>1.376</v>
      </c>
      <c r="M55" s="14" t="inlineStr">
        <is>
          <t>R1.38</t>
        </is>
      </c>
      <c r="N55" s="19">
        <f>IFERROR(IF(P55&lt;&gt;"",IF(INDEX($P$2:$P$417,MATCH($M55,$A$2:$A$417,0))="","",P55-INDEX($P$2:$P$417,MATCH($M55,$A$2:$A$417,0))),IF(H55&lt;&gt;"",IF(INDEX($H$2:$H$417,MATCH($M55,$A$2:$A$417,0))="","",H55-INDEX($H$2:$H$417,MATCH($M55,$A$2:$A$417,0))),IF(O55&lt;&gt;"",IF(INDEX($O$2:$O$417,MATCH($M55,$A$2:$A$417,0))="","",O55-INDEX($O$2:$O$417,MATCH($M55,$A$2:$A$417,0))),IF(Q55&lt;&gt;"",IF(INDEX($Q$2:$Q$417,MATCH($M55,$A$2:$A$417,0))="","",Q55-INDEX($Q$2:$Q$417,MATCH($M55,$A$2:$A$417,0))),"")))),"")</f>
        <v/>
      </c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20" t="n"/>
      <c r="Z55" s="20" t="n"/>
      <c r="AA55" s="16" t="n"/>
      <c r="AB55" s="21" t="inlineStr">
        <is>
          <t>distillation variant tl17_vocab: "tokenlearn (POTION-style) post-training on the PII train split"; dim 256, vocab 50755</t>
        </is>
      </c>
      <c r="AC55" s="21" t="n"/>
    </row>
    <row r="56" ht="28" customHeight="1">
      <c r="A56" s="2" t="inlineStr">
        <is>
          <t>R1.55</t>
        </is>
      </c>
      <c r="B56" s="3" t="n">
        <v>46254</v>
      </c>
      <c r="C56" s="2" t="inlineStr">
        <is>
          <t>sensitive</t>
        </is>
      </c>
      <c r="D56" s="2" t="inlineStr">
        <is>
          <t>champion + standard head</t>
        </is>
      </c>
      <c r="E56" s="2" t="inlineStr">
        <is>
          <t>val100k</t>
        </is>
      </c>
      <c r="F56" s="4" t="inlineStr">
        <is>
          <t>T1</t>
        </is>
      </c>
      <c r="G56" s="5" t="n">
        <v>20000</v>
      </c>
      <c r="H56" s="6" t="n">
        <v>0.9713000000000001</v>
      </c>
      <c r="I56" s="6" t="n">
        <v>0.9506</v>
      </c>
      <c r="J56" s="6" t="n">
        <v>0.8823</v>
      </c>
      <c r="K56" s="7">
        <f>IF(OR(L56="",L56=0),"",1000/L56)</f>
        <v/>
      </c>
      <c r="L56" s="8" t="n">
        <v>1.492</v>
      </c>
      <c r="M56" s="4" t="n"/>
      <c r="N56" s="9">
        <f>IFERROR(IF(P56&lt;&gt;"",IF(INDEX($P$2:$P$417,MATCH($M56,$A$2:$A$417,0))="","",P56-INDEX($P$2:$P$417,MATCH($M56,$A$2:$A$417,0))),IF(H56&lt;&gt;"",IF(INDEX($H$2:$H$417,MATCH($M56,$A$2:$A$417,0))="","",H56-INDEX($H$2:$H$417,MATCH($M56,$A$2:$A$417,0))),IF(O56&lt;&gt;"",IF(INDEX($O$2:$O$417,MATCH($M56,$A$2:$A$417,0))="","",O56-INDEX($O$2:$O$417,MATCH($M56,$A$2:$A$417,0))),IF(Q56&lt;&gt;"",IF(INDEX($Q$2:$Q$417,MATCH($M56,$A$2:$A$417,0))="","",Q56-INDEX($Q$2:$Q$417,MATCH($M56,$A$2:$A$417,0))),"")))),"")</f>
        <v/>
      </c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10" t="n"/>
      <c r="Z56" s="10" t="n"/>
      <c r="AA56" s="6" t="n"/>
      <c r="AB56" s="11" t="inlineStr">
        <is>
          <t>distillation variant champion: "shipped"; dim ?, vocab ?</t>
        </is>
      </c>
      <c r="AC56" s="11" t="n"/>
    </row>
    <row r="57" ht="28" customHeight="1">
      <c r="A57" s="12" t="inlineStr">
        <is>
          <t>R1.56</t>
        </is>
      </c>
      <c r="B57" s="13" t="n">
        <v>46254</v>
      </c>
      <c r="C57" s="12" t="inlineStr">
        <is>
          <t>sensitive</t>
        </is>
      </c>
      <c r="D57" s="12" t="inlineStr">
        <is>
          <t>d17_base + standard head</t>
        </is>
      </c>
      <c r="E57" s="12" t="inlineStr">
        <is>
          <t>val100k</t>
        </is>
      </c>
      <c r="F57" s="14" t="inlineStr">
        <is>
          <t>T1</t>
        </is>
      </c>
      <c r="G57" s="15" t="n">
        <v>20000</v>
      </c>
      <c r="H57" s="16" t="n">
        <v>0.9789</v>
      </c>
      <c r="I57" s="16" t="n">
        <v>0.9628</v>
      </c>
      <c r="J57" s="16" t="n">
        <v>0.8995</v>
      </c>
      <c r="K57" s="17">
        <f>IF(OR(L57="",L57=0),"",1000/L57)</f>
        <v/>
      </c>
      <c r="L57" s="18" t="n">
        <v>1.66</v>
      </c>
      <c r="M57" s="14" t="inlineStr">
        <is>
          <t>R1.55</t>
        </is>
      </c>
      <c r="N57" s="19">
        <f>IFERROR(IF(P57&lt;&gt;"",IF(INDEX($P$2:$P$417,MATCH($M57,$A$2:$A$417,0))="","",P57-INDEX($P$2:$P$417,MATCH($M57,$A$2:$A$417,0))),IF(H57&lt;&gt;"",IF(INDEX($H$2:$H$417,MATCH($M57,$A$2:$A$417,0))="","",H57-INDEX($H$2:$H$417,MATCH($M57,$A$2:$A$417,0))),IF(O57&lt;&gt;"",IF(INDEX($O$2:$O$417,MATCH($M57,$A$2:$A$417,0))="","",O57-INDEX($O$2:$O$417,MATCH($M57,$A$2:$A$417,0))),IF(Q57&lt;&gt;"",IF(INDEX($Q$2:$Q$417,MATCH($M57,$A$2:$A$417,0))="","",Q57-INDEX($Q$2:$Q$417,MATCH($M57,$A$2:$A$417,0))),"")))),"")</f>
        <v/>
      </c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20" t="n"/>
      <c r="Z57" s="20" t="n"/>
      <c r="AA57" s="16" t="n"/>
      <c r="AB57" s="21" t="inlineStr">
        <is>
          <t>distillation variant d17_base: {"pca_dims": "256", "sif_coefficient": "0.0001", "quantize_to": "float16"}; dim 256, vocab 50254</t>
        </is>
      </c>
      <c r="AC57" s="21" t="n"/>
    </row>
    <row r="58" ht="28" customHeight="1">
      <c r="A58" s="2" t="inlineStr">
        <is>
          <t>R1.57</t>
        </is>
      </c>
      <c r="B58" s="3" t="n">
        <v>46254</v>
      </c>
      <c r="C58" s="2" t="inlineStr">
        <is>
          <t>sensitive</t>
        </is>
      </c>
      <c r="D58" s="2" t="inlineStr">
        <is>
          <t>d17_direct + standard head</t>
        </is>
      </c>
      <c r="E58" s="2" t="inlineStr">
        <is>
          <t>val100k</t>
        </is>
      </c>
      <c r="F58" s="4" t="inlineStr">
        <is>
          <t>T1</t>
        </is>
      </c>
      <c r="G58" s="5" t="n">
        <v>20000</v>
      </c>
      <c r="H58" s="6" t="n">
        <v>0.9789</v>
      </c>
      <c r="I58" s="6" t="n">
        <v>0.9628</v>
      </c>
      <c r="J58" s="6" t="n">
        <v>0.8995</v>
      </c>
      <c r="K58" s="7">
        <f>IF(OR(L58="",L58=0),"",1000/L58)</f>
        <v/>
      </c>
      <c r="L58" s="8" t="n">
        <v>1.651</v>
      </c>
      <c r="M58" s="4" t="inlineStr">
        <is>
          <t>R1.55</t>
        </is>
      </c>
      <c r="N58" s="9">
        <f>IFERROR(IF(P58&lt;&gt;"",IF(INDEX($P$2:$P$417,MATCH($M58,$A$2:$A$417,0))="","",P58-INDEX($P$2:$P$417,MATCH($M58,$A$2:$A$417,0))),IF(H58&lt;&gt;"",IF(INDEX($H$2:$H$417,MATCH($M58,$A$2:$A$417,0))="","",H58-INDEX($H$2:$H$417,MATCH($M58,$A$2:$A$417,0))),IF(O58&lt;&gt;"",IF(INDEX($O$2:$O$417,MATCH($M58,$A$2:$A$417,0))="","",O58-INDEX($O$2:$O$417,MATCH($M58,$A$2:$A$417,0))),IF(Q58&lt;&gt;"",IF(INDEX($Q$2:$Q$417,MATCH($M58,$A$2:$A$417,0))="","",Q58-INDEX($Q$2:$Q$417,MATCH($M58,$A$2:$A$417,0))),"")))),"")</f>
        <v/>
      </c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10" t="n"/>
      <c r="Z58" s="10" t="n"/>
      <c r="AA58" s="6" t="n"/>
      <c r="AB58" s="11" t="inlineStr">
        <is>
          <t>distillation variant d17_direct: {"pca_dims": "256", "sif_coefficient": "0.0001", "quantize_to": "float16"}; dim 256, vocab 50254</t>
        </is>
      </c>
      <c r="AC58" s="11" t="n"/>
    </row>
    <row r="59" ht="28" customHeight="1">
      <c r="A59" s="12" t="inlineStr">
        <is>
          <t>R1.58</t>
        </is>
      </c>
      <c r="B59" s="13" t="n">
        <v>46254</v>
      </c>
      <c r="C59" s="12" t="inlineStr">
        <is>
          <t>sensitive</t>
        </is>
      </c>
      <c r="D59" s="12" t="inlineStr">
        <is>
          <t>d17_fp32 + standard head</t>
        </is>
      </c>
      <c r="E59" s="12" t="inlineStr">
        <is>
          <t>val100k</t>
        </is>
      </c>
      <c r="F59" s="14" t="inlineStr">
        <is>
          <t>T1</t>
        </is>
      </c>
      <c r="G59" s="15" t="n">
        <v>20000</v>
      </c>
      <c r="H59" s="16" t="n">
        <v>0.9787</v>
      </c>
      <c r="I59" s="16" t="n">
        <v>0.9629</v>
      </c>
      <c r="J59" s="16" t="n">
        <v>0.899</v>
      </c>
      <c r="K59" s="17">
        <f>IF(OR(L59="",L59=0),"",1000/L59)</f>
        <v/>
      </c>
      <c r="L59" s="18" t="n">
        <v>1.365</v>
      </c>
      <c r="M59" s="14" t="inlineStr">
        <is>
          <t>R1.55</t>
        </is>
      </c>
      <c r="N59" s="19">
        <f>IFERROR(IF(P59&lt;&gt;"",IF(INDEX($P$2:$P$417,MATCH($M59,$A$2:$A$417,0))="","",P59-INDEX($P$2:$P$417,MATCH($M59,$A$2:$A$417,0))),IF(H59&lt;&gt;"",IF(INDEX($H$2:$H$417,MATCH($M59,$A$2:$A$417,0))="","",H59-INDEX($H$2:$H$417,MATCH($M59,$A$2:$A$417,0))),IF(O59&lt;&gt;"",IF(INDEX($O$2:$O$417,MATCH($M59,$A$2:$A$417,0))="","",O59-INDEX($O$2:$O$417,MATCH($M59,$A$2:$A$417,0))),IF(Q59&lt;&gt;"",IF(INDEX($Q$2:$Q$417,MATCH($M59,$A$2:$A$417,0))="","",Q59-INDEX($Q$2:$Q$417,MATCH($M59,$A$2:$A$417,0))),"")))),"")</f>
        <v/>
      </c>
      <c r="O59" s="16" t="n"/>
      <c r="P59" s="16" t="n"/>
      <c r="Q59" s="16" t="n"/>
      <c r="R59" s="16" t="n"/>
      <c r="S59" s="16" t="n"/>
      <c r="T59" s="16" t="n"/>
      <c r="U59" s="16" t="n"/>
      <c r="V59" s="16" t="n"/>
      <c r="W59" s="16" t="n"/>
      <c r="X59" s="16" t="n"/>
      <c r="Y59" s="20" t="n"/>
      <c r="Z59" s="20" t="n"/>
      <c r="AA59" s="16" t="n"/>
      <c r="AB59" s="21" t="inlineStr">
        <is>
          <t>distillation variant d17_fp32: {"pca_dims": "256", "quantize_to": "float32"}; dim 256, vocab 50254</t>
        </is>
      </c>
      <c r="AC59" s="21" t="n"/>
    </row>
    <row r="60" ht="28" customHeight="1">
      <c r="A60" s="2" t="inlineStr">
        <is>
          <t>R1.59</t>
        </is>
      </c>
      <c r="B60" s="3" t="n">
        <v>46254</v>
      </c>
      <c r="C60" s="2" t="inlineStr">
        <is>
          <t>sensitive</t>
        </is>
      </c>
      <c r="D60" s="2" t="inlineStr">
        <is>
          <t>d17_nopca + standard head</t>
        </is>
      </c>
      <c r="E60" s="2" t="inlineStr">
        <is>
          <t>val100k</t>
        </is>
      </c>
      <c r="F60" s="4" t="inlineStr">
        <is>
          <t>T1</t>
        </is>
      </c>
      <c r="G60" s="5" t="n">
        <v>20000</v>
      </c>
      <c r="H60" s="6" t="n">
        <v>0.8158</v>
      </c>
      <c r="I60" s="6" t="n">
        <v>0.7347</v>
      </c>
      <c r="J60" s="6" t="n">
        <v>0.5739</v>
      </c>
      <c r="K60" s="7">
        <f>IF(OR(L60="",L60=0),"",1000/L60)</f>
        <v/>
      </c>
      <c r="L60" s="8" t="n">
        <v>1.596</v>
      </c>
      <c r="M60" s="4" t="inlineStr">
        <is>
          <t>R1.55</t>
        </is>
      </c>
      <c r="N60" s="9">
        <f>IFERROR(IF(P60&lt;&gt;"",IF(INDEX($P$2:$P$417,MATCH($M60,$A$2:$A$417,0))="","",P60-INDEX($P$2:$P$417,MATCH($M60,$A$2:$A$417,0))),IF(H60&lt;&gt;"",IF(INDEX($H$2:$H$417,MATCH($M60,$A$2:$A$417,0))="","",H60-INDEX($H$2:$H$417,MATCH($M60,$A$2:$A$417,0))),IF(O60&lt;&gt;"",IF(INDEX($O$2:$O$417,MATCH($M60,$A$2:$A$417,0))="","",O60-INDEX($O$2:$O$417,MATCH($M60,$A$2:$A$417,0))),IF(Q60&lt;&gt;"",IF(INDEX($Q$2:$Q$417,MATCH($M60,$A$2:$A$417,0))="","",Q60-INDEX($Q$2:$Q$417,MATCH($M60,$A$2:$A$417,0))),"")))),"")</f>
        <v/>
      </c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10" t="n"/>
      <c r="Z60" s="10" t="n"/>
      <c r="AA60" s="6" t="n"/>
      <c r="AB60" s="11" t="inlineStr">
        <is>
          <t>distillation variant d17_nopca: {"pca_dims": "None"}; dim 256, vocab 50254</t>
        </is>
      </c>
      <c r="AC60" s="11" t="n"/>
    </row>
    <row r="61" ht="28" customHeight="1">
      <c r="A61" s="12" t="inlineStr">
        <is>
          <t>R1.60</t>
        </is>
      </c>
      <c r="B61" s="13" t="n">
        <v>46254</v>
      </c>
      <c r="C61" s="12" t="inlineStr">
        <is>
          <t>sensitive</t>
        </is>
      </c>
      <c r="D61" s="12" t="inlineStr">
        <is>
          <t>d17_pca128 + standard head</t>
        </is>
      </c>
      <c r="E61" s="12" t="inlineStr">
        <is>
          <t>val100k</t>
        </is>
      </c>
      <c r="F61" s="14" t="inlineStr">
        <is>
          <t>T1</t>
        </is>
      </c>
      <c r="G61" s="15" t="n">
        <v>20000</v>
      </c>
      <c r="H61" s="16" t="n">
        <v>0.9756</v>
      </c>
      <c r="I61" s="16" t="n">
        <v>0.9596</v>
      </c>
      <c r="J61" s="16" t="n">
        <v>0.8922</v>
      </c>
      <c r="K61" s="17">
        <f>IF(OR(L61="",L61=0),"",1000/L61)</f>
        <v/>
      </c>
      <c r="L61" s="18" t="n">
        <v>1.45</v>
      </c>
      <c r="M61" s="14" t="inlineStr">
        <is>
          <t>R1.55</t>
        </is>
      </c>
      <c r="N61" s="19">
        <f>IFERROR(IF(P61&lt;&gt;"",IF(INDEX($P$2:$P$417,MATCH($M61,$A$2:$A$417,0))="","",P61-INDEX($P$2:$P$417,MATCH($M61,$A$2:$A$417,0))),IF(H61&lt;&gt;"",IF(INDEX($H$2:$H$417,MATCH($M61,$A$2:$A$417,0))="","",H61-INDEX($H$2:$H$417,MATCH($M61,$A$2:$A$417,0))),IF(O61&lt;&gt;"",IF(INDEX($O$2:$O$417,MATCH($M61,$A$2:$A$417,0))="","",O61-INDEX($O$2:$O$417,MATCH($M61,$A$2:$A$417,0))),IF(Q61&lt;&gt;"",IF(INDEX($Q$2:$Q$417,MATCH($M61,$A$2:$A$417,0))="","",Q61-INDEX($Q$2:$Q$417,MATCH($M61,$A$2:$A$417,0))),"")))),"")</f>
        <v/>
      </c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20" t="n"/>
      <c r="Z61" s="20" t="n"/>
      <c r="AA61" s="16" t="n"/>
      <c r="AB61" s="21" t="inlineStr">
        <is>
          <t>distillation variant d17_pca128: {"pca_dims": "128"}; dim 128, vocab 50254</t>
        </is>
      </c>
      <c r="AC61" s="21" t="n"/>
    </row>
    <row r="62" ht="28" customHeight="1">
      <c r="A62" s="2" t="inlineStr">
        <is>
          <t>R1.61</t>
        </is>
      </c>
      <c r="B62" s="3" t="n">
        <v>46254</v>
      </c>
      <c r="C62" s="2" t="inlineStr">
        <is>
          <t>sensitive</t>
        </is>
      </c>
      <c r="D62" s="2" t="inlineStr">
        <is>
          <t>d17_pca64 + standard head</t>
        </is>
      </c>
      <c r="E62" s="2" t="inlineStr">
        <is>
          <t>val100k</t>
        </is>
      </c>
      <c r="F62" s="4" t="inlineStr">
        <is>
          <t>T1</t>
        </is>
      </c>
      <c r="G62" s="5" t="n">
        <v>20000</v>
      </c>
      <c r="H62" s="6" t="n">
        <v>0.9719</v>
      </c>
      <c r="I62" s="6" t="n">
        <v>0.9520999999999999</v>
      </c>
      <c r="J62" s="6" t="n">
        <v>0.8787999999999999</v>
      </c>
      <c r="K62" s="7">
        <f>IF(OR(L62="",L62=0),"",1000/L62)</f>
        <v/>
      </c>
      <c r="L62" s="8" t="n">
        <v>1.328</v>
      </c>
      <c r="M62" s="4" t="inlineStr">
        <is>
          <t>R1.55</t>
        </is>
      </c>
      <c r="N62" s="9">
        <f>IFERROR(IF(P62&lt;&gt;"",IF(INDEX($P$2:$P$417,MATCH($M62,$A$2:$A$417,0))="","",P62-INDEX($P$2:$P$417,MATCH($M62,$A$2:$A$417,0))),IF(H62&lt;&gt;"",IF(INDEX($H$2:$H$417,MATCH($M62,$A$2:$A$417,0))="","",H62-INDEX($H$2:$H$417,MATCH($M62,$A$2:$A$417,0))),IF(O62&lt;&gt;"",IF(INDEX($O$2:$O$417,MATCH($M62,$A$2:$A$417,0))="","",O62-INDEX($O$2:$O$417,MATCH($M62,$A$2:$A$417,0))),IF(Q62&lt;&gt;"",IF(INDEX($Q$2:$Q$417,MATCH($M62,$A$2:$A$417,0))="","",Q62-INDEX($Q$2:$Q$417,MATCH($M62,$A$2:$A$417,0))),"")))),"")</f>
        <v/>
      </c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10" t="n"/>
      <c r="Z62" s="10" t="n"/>
      <c r="AA62" s="6" t="n"/>
      <c r="AB62" s="11" t="inlineStr">
        <is>
          <t>distillation variant d17_pca64: {"pca_dims": "64"}; dim 64, vocab 50254</t>
        </is>
      </c>
      <c r="AC62" s="11" t="n"/>
    </row>
    <row r="63" ht="28" customHeight="1">
      <c r="A63" s="12" t="inlineStr">
        <is>
          <t>R1.62</t>
        </is>
      </c>
      <c r="B63" s="13" t="n">
        <v>46254</v>
      </c>
      <c r="C63" s="12" t="inlineStr">
        <is>
          <t>sensitive</t>
        </is>
      </c>
      <c r="D63" s="12" t="inlineStr">
        <is>
          <t>d17_pcaauto + standard head</t>
        </is>
      </c>
      <c r="E63" s="12" t="inlineStr">
        <is>
          <t>val100k</t>
        </is>
      </c>
      <c r="F63" s="14" t="inlineStr">
        <is>
          <t>T1</t>
        </is>
      </c>
      <c r="G63" s="15" t="n">
        <v>20000</v>
      </c>
      <c r="H63" s="16" t="n">
        <v>0.9789</v>
      </c>
      <c r="I63" s="16" t="n">
        <v>0.9628</v>
      </c>
      <c r="J63" s="16" t="n">
        <v>0.8995</v>
      </c>
      <c r="K63" s="17">
        <f>IF(OR(L63="",L63=0),"",1000/L63)</f>
        <v/>
      </c>
      <c r="L63" s="18" t="n">
        <v>1.593</v>
      </c>
      <c r="M63" s="14" t="inlineStr">
        <is>
          <t>R1.55</t>
        </is>
      </c>
      <c r="N63" s="19">
        <f>IFERROR(IF(P63&lt;&gt;"",IF(INDEX($P$2:$P$417,MATCH($M63,$A$2:$A$417,0))="","",P63-INDEX($P$2:$P$417,MATCH($M63,$A$2:$A$417,0))),IF(H63&lt;&gt;"",IF(INDEX($H$2:$H$417,MATCH($M63,$A$2:$A$417,0))="","",H63-INDEX($H$2:$H$417,MATCH($M63,$A$2:$A$417,0))),IF(O63&lt;&gt;"",IF(INDEX($O$2:$O$417,MATCH($M63,$A$2:$A$417,0))="","",O63-INDEX($O$2:$O$417,MATCH($M63,$A$2:$A$417,0))),IF(Q63&lt;&gt;"",IF(INDEX($Q$2:$Q$417,MATCH($M63,$A$2:$A$417,0))="","",Q63-INDEX($Q$2:$Q$417,MATCH($M63,$A$2:$A$417,0))),"")))),"")</f>
        <v/>
      </c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20" t="n"/>
      <c r="Z63" s="20" t="n"/>
      <c r="AA63" s="16" t="n"/>
      <c r="AB63" s="21" t="inlineStr">
        <is>
          <t>distillation variant d17_pcaauto: {"pca_dims": "auto"}; dim 256, vocab 50254</t>
        </is>
      </c>
      <c r="AC63" s="21" t="n"/>
    </row>
    <row r="64" ht="28" customHeight="1">
      <c r="A64" s="2" t="inlineStr">
        <is>
          <t>R1.63</t>
        </is>
      </c>
      <c r="B64" s="3" t="n">
        <v>46254</v>
      </c>
      <c r="C64" s="2" t="inlineStr">
        <is>
          <t>sensitive</t>
        </is>
      </c>
      <c r="D64" s="2" t="inlineStr">
        <is>
          <t>d17_poolfirst + standard head</t>
        </is>
      </c>
      <c r="E64" s="2" t="inlineStr">
        <is>
          <t>val100k</t>
        </is>
      </c>
      <c r="F64" s="4" t="inlineStr">
        <is>
          <t>T1</t>
        </is>
      </c>
      <c r="G64" s="5" t="n">
        <v>20000</v>
      </c>
      <c r="H64" s="6" t="n">
        <v>0.9762000000000001</v>
      </c>
      <c r="I64" s="6" t="n">
        <v>0.9567</v>
      </c>
      <c r="J64" s="6" t="n">
        <v>0.887</v>
      </c>
      <c r="K64" s="7">
        <f>IF(OR(L64="",L64=0),"",1000/L64)</f>
        <v/>
      </c>
      <c r="L64" s="8" t="n">
        <v>1.596</v>
      </c>
      <c r="M64" s="4" t="inlineStr">
        <is>
          <t>R1.55</t>
        </is>
      </c>
      <c r="N64" s="9">
        <f>IFERROR(IF(P64&lt;&gt;"",IF(INDEX($P$2:$P$417,MATCH($M64,$A$2:$A$417,0))="","",P64-INDEX($P$2:$P$417,MATCH($M64,$A$2:$A$417,0))),IF(H64&lt;&gt;"",IF(INDEX($H$2:$H$417,MATCH($M64,$A$2:$A$417,0))="","",H64-INDEX($H$2:$H$417,MATCH($M64,$A$2:$A$417,0))),IF(O64&lt;&gt;"",IF(INDEX($O$2:$O$417,MATCH($M64,$A$2:$A$417,0))="","",O64-INDEX($O$2:$O$417,MATCH($M64,$A$2:$A$417,0))),IF(Q64&lt;&gt;"",IF(INDEX($Q$2:$Q$417,MATCH($M64,$A$2:$A$417,0))="","",Q64-INDEX($Q$2:$Q$417,MATCH($M64,$A$2:$A$417,0))),"")))),"")</f>
        <v/>
      </c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10" t="n"/>
      <c r="Z64" s="10" t="n"/>
      <c r="AA64" s="6" t="n"/>
      <c r="AB64" s="11" t="inlineStr">
        <is>
          <t>distillation variant d17_poolfirst: {"pca_dims": "256", "pooling": "first"}; dim 256, vocab 50254</t>
        </is>
      </c>
      <c r="AC64" s="11" t="n"/>
    </row>
    <row r="65" ht="28" customHeight="1">
      <c r="A65" s="12" t="inlineStr">
        <is>
          <t>R1.64</t>
        </is>
      </c>
      <c r="B65" s="13" t="n">
        <v>46254</v>
      </c>
      <c r="C65" s="12" t="inlineStr">
        <is>
          <t>sensitive</t>
        </is>
      </c>
      <c r="D65" s="12" t="inlineStr">
        <is>
          <t>d17_sif1e3 + standard head</t>
        </is>
      </c>
      <c r="E65" s="12" t="inlineStr">
        <is>
          <t>val100k</t>
        </is>
      </c>
      <c r="F65" s="14" t="inlineStr">
        <is>
          <t>T1</t>
        </is>
      </c>
      <c r="G65" s="15" t="n">
        <v>20000</v>
      </c>
      <c r="H65" s="16" t="n">
        <v>0.9748</v>
      </c>
      <c r="I65" s="16" t="n">
        <v>0.9553</v>
      </c>
      <c r="J65" s="16" t="n">
        <v>0.8838</v>
      </c>
      <c r="K65" s="17">
        <f>IF(OR(L65="",L65=0),"",1000/L65)</f>
        <v/>
      </c>
      <c r="L65" s="18" t="n">
        <v>1.58</v>
      </c>
      <c r="M65" s="14" t="inlineStr">
        <is>
          <t>R1.55</t>
        </is>
      </c>
      <c r="N65" s="19">
        <f>IFERROR(IF(P65&lt;&gt;"",IF(INDEX($P$2:$P$417,MATCH($M65,$A$2:$A$417,0))="","",P65-INDEX($P$2:$P$417,MATCH($M65,$A$2:$A$417,0))),IF(H65&lt;&gt;"",IF(INDEX($H$2:$H$417,MATCH($M65,$A$2:$A$417,0))="","",H65-INDEX($H$2:$H$417,MATCH($M65,$A$2:$A$417,0))),IF(O65&lt;&gt;"",IF(INDEX($O$2:$O$417,MATCH($M65,$A$2:$A$417,0))="","",O65-INDEX($O$2:$O$417,MATCH($M65,$A$2:$A$417,0))),IF(Q65&lt;&gt;"",IF(INDEX($Q$2:$Q$417,MATCH($M65,$A$2:$A$417,0))="","",Q65-INDEX($Q$2:$Q$417,MATCH($M65,$A$2:$A$417,0))),"")))),"")</f>
        <v/>
      </c>
      <c r="O65" s="16" t="n"/>
      <c r="P65" s="16" t="n"/>
      <c r="Q65" s="16" t="n"/>
      <c r="R65" s="16" t="n"/>
      <c r="S65" s="16" t="n"/>
      <c r="T65" s="16" t="n"/>
      <c r="U65" s="16" t="n"/>
      <c r="V65" s="16" t="n"/>
      <c r="W65" s="16" t="n"/>
      <c r="X65" s="16" t="n"/>
      <c r="Y65" s="20" t="n"/>
      <c r="Z65" s="20" t="n"/>
      <c r="AA65" s="16" t="n"/>
      <c r="AB65" s="21" t="inlineStr">
        <is>
          <t>distillation variant d17_sif1e3: {"pca_dims": "256", "sif_coefficient": "0.001"}; dim 256, vocab 50254</t>
        </is>
      </c>
      <c r="AC65" s="21" t="n"/>
    </row>
    <row r="66" ht="28" customHeight="1">
      <c r="A66" s="2" t="inlineStr">
        <is>
          <t>R1.65</t>
        </is>
      </c>
      <c r="B66" s="3" t="n">
        <v>46254</v>
      </c>
      <c r="C66" s="2" t="inlineStr">
        <is>
          <t>sensitive</t>
        </is>
      </c>
      <c r="D66" s="2" t="inlineStr">
        <is>
          <t>d17_sif1e5 + standard head</t>
        </is>
      </c>
      <c r="E66" s="2" t="inlineStr">
        <is>
          <t>val100k</t>
        </is>
      </c>
      <c r="F66" s="4" t="inlineStr">
        <is>
          <t>T1</t>
        </is>
      </c>
      <c r="G66" s="5" t="n">
        <v>20000</v>
      </c>
      <c r="H66" s="6" t="n">
        <v>0.9787</v>
      </c>
      <c r="I66" s="6" t="n">
        <v>0.9661</v>
      </c>
      <c r="J66" s="6" t="n">
        <v>0.908</v>
      </c>
      <c r="K66" s="7">
        <f>IF(OR(L66="",L66=0),"",1000/L66)</f>
        <v/>
      </c>
      <c r="L66" s="8" t="n">
        <v>1.664</v>
      </c>
      <c r="M66" s="4" t="inlineStr">
        <is>
          <t>R1.55</t>
        </is>
      </c>
      <c r="N66" s="9">
        <f>IFERROR(IF(P66&lt;&gt;"",IF(INDEX($P$2:$P$417,MATCH($M66,$A$2:$A$417,0))="","",P66-INDEX($P$2:$P$417,MATCH($M66,$A$2:$A$417,0))),IF(H66&lt;&gt;"",IF(INDEX($H$2:$H$417,MATCH($M66,$A$2:$A$417,0))="","",H66-INDEX($H$2:$H$417,MATCH($M66,$A$2:$A$417,0))),IF(O66&lt;&gt;"",IF(INDEX($O$2:$O$417,MATCH($M66,$A$2:$A$417,0))="","",O66-INDEX($O$2:$O$417,MATCH($M66,$A$2:$A$417,0))),IF(Q66&lt;&gt;"",IF(INDEX($Q$2:$Q$417,MATCH($M66,$A$2:$A$417,0))="","",Q66-INDEX($Q$2:$Q$417,MATCH($M66,$A$2:$A$417,0))),"")))),"")</f>
        <v/>
      </c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10" t="n"/>
      <c r="Z66" s="10" t="n"/>
      <c r="AA66" s="6" t="n"/>
      <c r="AB66" s="11" t="inlineStr">
        <is>
          <t>distillation variant d17_sif1e5: {"pca_dims": "256", "sif_coefficient": "1e-05"}; dim 256, vocab 50254</t>
        </is>
      </c>
      <c r="AC66" s="11" t="n"/>
    </row>
    <row r="67" ht="28" customHeight="1">
      <c r="A67" s="12" t="inlineStr">
        <is>
          <t>R1.66</t>
        </is>
      </c>
      <c r="B67" s="13" t="n">
        <v>46254</v>
      </c>
      <c r="C67" s="12" t="inlineStr">
        <is>
          <t>sensitive</t>
        </is>
      </c>
      <c r="D67" s="12" t="inlineStr">
        <is>
          <t>d17_sifnone + standard head</t>
        </is>
      </c>
      <c r="E67" s="12" t="inlineStr">
        <is>
          <t>val100k</t>
        </is>
      </c>
      <c r="F67" s="14" t="inlineStr">
        <is>
          <t>T1</t>
        </is>
      </c>
      <c r="G67" s="15" t="n">
        <v>20000</v>
      </c>
      <c r="H67" s="16" t="n">
        <v>0.9712</v>
      </c>
      <c r="I67" s="16" t="n">
        <v>0.9497</v>
      </c>
      <c r="J67" s="16" t="n">
        <v>0.8815</v>
      </c>
      <c r="K67" s="17">
        <f>IF(OR(L67="",L67=0),"",1000/L67)</f>
        <v/>
      </c>
      <c r="L67" s="18" t="n">
        <v>1.604</v>
      </c>
      <c r="M67" s="14" t="inlineStr">
        <is>
          <t>R1.55</t>
        </is>
      </c>
      <c r="N67" s="19">
        <f>IFERROR(IF(P67&lt;&gt;"",IF(INDEX($P$2:$P$417,MATCH($M67,$A$2:$A$417,0))="","",P67-INDEX($P$2:$P$417,MATCH($M67,$A$2:$A$417,0))),IF(H67&lt;&gt;"",IF(INDEX($H$2:$H$417,MATCH($M67,$A$2:$A$417,0))="","",H67-INDEX($H$2:$H$417,MATCH($M67,$A$2:$A$417,0))),IF(O67&lt;&gt;"",IF(INDEX($O$2:$O$417,MATCH($M67,$A$2:$A$417,0))="","",O67-INDEX($O$2:$O$417,MATCH($M67,$A$2:$A$417,0))),IF(Q67&lt;&gt;"",IF(INDEX($Q$2:$Q$417,MATCH($M67,$A$2:$A$417,0))="","",Q67-INDEX($Q$2:$Q$417,MATCH($M67,$A$2:$A$417,0))),"")))),"")</f>
        <v/>
      </c>
      <c r="O67" s="16" t="n"/>
      <c r="P67" s="16" t="n"/>
      <c r="Q67" s="16" t="n"/>
      <c r="R67" s="16" t="n"/>
      <c r="S67" s="16" t="n"/>
      <c r="T67" s="16" t="n"/>
      <c r="U67" s="16" t="n"/>
      <c r="V67" s="16" t="n"/>
      <c r="W67" s="16" t="n"/>
      <c r="X67" s="16" t="n"/>
      <c r="Y67" s="20" t="n"/>
      <c r="Z67" s="20" t="n"/>
      <c r="AA67" s="16" t="n"/>
      <c r="AB67" s="21" t="inlineStr">
        <is>
          <t>distillation variant d17_sifnone: {"pca_dims": "256", "sif_coefficient": "None"}; dim 256, vocab 50254</t>
        </is>
      </c>
      <c r="AC67" s="21" t="n"/>
    </row>
    <row r="68" ht="28" customHeight="1">
      <c r="A68" s="2" t="inlineStr">
        <is>
          <t>R1.67</t>
        </is>
      </c>
      <c r="B68" s="3" t="n">
        <v>46254</v>
      </c>
      <c r="C68" s="2" t="inlineStr">
        <is>
          <t>sensitive</t>
        </is>
      </c>
      <c r="D68" s="2" t="inlineStr">
        <is>
          <t>d17_vocab + standard head</t>
        </is>
      </c>
      <c r="E68" s="2" t="inlineStr">
        <is>
          <t>val100k</t>
        </is>
      </c>
      <c r="F68" s="4" t="inlineStr">
        <is>
          <t>T1</t>
        </is>
      </c>
      <c r="G68" s="5" t="n">
        <v>20000</v>
      </c>
      <c r="H68" s="6" t="n">
        <v>0.979</v>
      </c>
      <c r="I68" s="6" t="n">
        <v>0.9629</v>
      </c>
      <c r="J68" s="6" t="n">
        <v>0.8986</v>
      </c>
      <c r="K68" s="7">
        <f>IF(OR(L68="",L68=0),"",1000/L68)</f>
        <v/>
      </c>
      <c r="L68" s="8" t="n">
        <v>1.627</v>
      </c>
      <c r="M68" s="4" t="inlineStr">
        <is>
          <t>R1.55</t>
        </is>
      </c>
      <c r="N68" s="9">
        <f>IFERROR(IF(P68&lt;&gt;"",IF(INDEX($P$2:$P$417,MATCH($M68,$A$2:$A$417,0))="","",P68-INDEX($P$2:$P$417,MATCH($M68,$A$2:$A$417,0))),IF(H68&lt;&gt;"",IF(INDEX($H$2:$H$417,MATCH($M68,$A$2:$A$417,0))="","",H68-INDEX($H$2:$H$417,MATCH($M68,$A$2:$A$417,0))),IF(O68&lt;&gt;"",IF(INDEX($O$2:$O$417,MATCH($M68,$A$2:$A$417,0))="","",O68-INDEX($O$2:$O$417,MATCH($M68,$A$2:$A$417,0))),IF(Q68&lt;&gt;"",IF(INDEX($Q$2:$Q$417,MATCH($M68,$A$2:$A$417,0))="","",Q68-INDEX($Q$2:$Q$417,MATCH($M68,$A$2:$A$417,0))),"")))),"")</f>
        <v/>
      </c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10" t="n"/>
      <c r="Z68" s="10" t="n"/>
      <c r="AA68" s="6" t="n"/>
      <c r="AB68" s="11" t="inlineStr">
        <is>
          <t>distillation variant d17_vocab: {"pca_dims": "256"}; dim 256, vocab 50755</t>
        </is>
      </c>
      <c r="AC68" s="11" t="n"/>
    </row>
    <row r="69" ht="28" customHeight="1">
      <c r="A69" s="12" t="inlineStr">
        <is>
          <t>R1.68</t>
        </is>
      </c>
      <c r="B69" s="13" t="n">
        <v>46254</v>
      </c>
      <c r="C69" s="12" t="inlineStr">
        <is>
          <t>sensitive</t>
        </is>
      </c>
      <c r="D69" s="12" t="inlineStr">
        <is>
          <t>d32_base + standard head</t>
        </is>
      </c>
      <c r="E69" s="12" t="inlineStr">
        <is>
          <t>val100k</t>
        </is>
      </c>
      <c r="F69" s="14" t="inlineStr">
        <is>
          <t>T1</t>
        </is>
      </c>
      <c r="G69" s="15" t="n">
        <v>20000</v>
      </c>
      <c r="H69" s="16" t="n">
        <v>0.978</v>
      </c>
      <c r="I69" s="16" t="n">
        <v>0.9621</v>
      </c>
      <c r="J69" s="16" t="n">
        <v>0.8977000000000001</v>
      </c>
      <c r="K69" s="17">
        <f>IF(OR(L69="",L69=0),"",1000/L69)</f>
        <v/>
      </c>
      <c r="L69" s="18" t="n">
        <v>1.749</v>
      </c>
      <c r="M69" s="14" t="inlineStr">
        <is>
          <t>R1.55</t>
        </is>
      </c>
      <c r="N69" s="19">
        <f>IFERROR(IF(P69&lt;&gt;"",IF(INDEX($P$2:$P$417,MATCH($M69,$A$2:$A$417,0))="","",P69-INDEX($P$2:$P$417,MATCH($M69,$A$2:$A$417,0))),IF(H69&lt;&gt;"",IF(INDEX($H$2:$H$417,MATCH($M69,$A$2:$A$417,0))="","",H69-INDEX($H$2:$H$417,MATCH($M69,$A$2:$A$417,0))),IF(O69&lt;&gt;"",IF(INDEX($O$2:$O$417,MATCH($M69,$A$2:$A$417,0))="","",O69-INDEX($O$2:$O$417,MATCH($M69,$A$2:$A$417,0))),IF(Q69&lt;&gt;"",IF(INDEX($Q$2:$Q$417,MATCH($M69,$A$2:$A$417,0))="","",Q69-INDEX($Q$2:$Q$417,MATCH($M69,$A$2:$A$417,0))),"")))),"")</f>
        <v/>
      </c>
      <c r="O69" s="16" t="n"/>
      <c r="P69" s="16" t="n"/>
      <c r="Q69" s="16" t="n"/>
      <c r="R69" s="16" t="n"/>
      <c r="S69" s="16" t="n"/>
      <c r="T69" s="16" t="n"/>
      <c r="U69" s="16" t="n"/>
      <c r="V69" s="16" t="n"/>
      <c r="W69" s="16" t="n"/>
      <c r="X69" s="16" t="n"/>
      <c r="Y69" s="20" t="n"/>
      <c r="Z69" s="20" t="n"/>
      <c r="AA69" s="16" t="n"/>
      <c r="AB69" s="21" t="inlineStr">
        <is>
          <t>distillation variant d32_base: {"pca_dims": "384"}; dim 384, vocab 50254</t>
        </is>
      </c>
      <c r="AC69" s="21" t="n"/>
    </row>
    <row r="70" ht="28" customHeight="1">
      <c r="A70" s="2" t="inlineStr">
        <is>
          <t>R1.69</t>
        </is>
      </c>
      <c r="B70" s="3" t="n">
        <v>46254</v>
      </c>
      <c r="C70" s="2" t="inlineStr">
        <is>
          <t>sensitive</t>
        </is>
      </c>
      <c r="D70" s="2" t="inlineStr">
        <is>
          <t>d68_base + standard head</t>
        </is>
      </c>
      <c r="E70" s="2" t="inlineStr">
        <is>
          <t>val100k</t>
        </is>
      </c>
      <c r="F70" s="4" t="inlineStr">
        <is>
          <t>T1</t>
        </is>
      </c>
      <c r="G70" s="5" t="n">
        <v>20000</v>
      </c>
      <c r="H70" s="6" t="n">
        <v>0.9794</v>
      </c>
      <c r="I70" s="6" t="n">
        <v>0.9665</v>
      </c>
      <c r="J70" s="6" t="n">
        <v>0.9151</v>
      </c>
      <c r="K70" s="7">
        <f>IF(OR(L70="",L70=0),"",1000/L70)</f>
        <v/>
      </c>
      <c r="L70" s="8" t="n">
        <v>1.91</v>
      </c>
      <c r="M70" s="4" t="inlineStr">
        <is>
          <t>R1.55</t>
        </is>
      </c>
      <c r="N70" s="9">
        <f>IFERROR(IF(P70&lt;&gt;"",IF(INDEX($P$2:$P$417,MATCH($M70,$A$2:$A$417,0))="","",P70-INDEX($P$2:$P$417,MATCH($M70,$A$2:$A$417,0))),IF(H70&lt;&gt;"",IF(INDEX($H$2:$H$417,MATCH($M70,$A$2:$A$417,0))="","",H70-INDEX($H$2:$H$417,MATCH($M70,$A$2:$A$417,0))),IF(O70&lt;&gt;"",IF(INDEX($O$2:$O$417,MATCH($M70,$A$2:$A$417,0))="","",O70-INDEX($O$2:$O$417,MATCH($M70,$A$2:$A$417,0))),IF(Q70&lt;&gt;"",IF(INDEX($Q$2:$Q$417,MATCH($M70,$A$2:$A$417,0))="","",Q70-INDEX($Q$2:$Q$417,MATCH($M70,$A$2:$A$417,0))),"")))),"")</f>
        <v/>
      </c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10" t="n"/>
      <c r="Z70" s="10" t="n"/>
      <c r="AA70" s="6" t="n"/>
      <c r="AB70" s="11" t="inlineStr">
        <is>
          <t>distillation variant d68_base: {"pca_dims": "512"}; dim 512, vocab 50254</t>
        </is>
      </c>
      <c r="AC70" s="11" t="n"/>
    </row>
    <row r="71" ht="28" customHeight="1">
      <c r="A71" s="12" t="inlineStr">
        <is>
          <t>R1.70</t>
        </is>
      </c>
      <c r="B71" s="13" t="n">
        <v>46254</v>
      </c>
      <c r="C71" s="12" t="inlineStr">
        <is>
          <t>sensitive</t>
        </is>
      </c>
      <c r="D71" s="12" t="inlineStr">
        <is>
          <t>tl17_base + standard head</t>
        </is>
      </c>
      <c r="E71" s="12" t="inlineStr">
        <is>
          <t>val100k</t>
        </is>
      </c>
      <c r="F71" s="14" t="inlineStr">
        <is>
          <t>T1</t>
        </is>
      </c>
      <c r="G71" s="15" t="n">
        <v>20000</v>
      </c>
      <c r="H71" s="16" t="n">
        <v>0.9873</v>
      </c>
      <c r="I71" s="16" t="n">
        <v>0.9810000000000001</v>
      </c>
      <c r="J71" s="16" t="n">
        <v>0.9457</v>
      </c>
      <c r="K71" s="17">
        <f>IF(OR(L71="",L71=0),"",1000/L71)</f>
        <v/>
      </c>
      <c r="L71" s="18" t="n">
        <v>1.341</v>
      </c>
      <c r="M71" s="14" t="inlineStr">
        <is>
          <t>R1.55</t>
        </is>
      </c>
      <c r="N71" s="19">
        <f>IFERROR(IF(P71&lt;&gt;"",IF(INDEX($P$2:$P$417,MATCH($M71,$A$2:$A$417,0))="","",P71-INDEX($P$2:$P$417,MATCH($M71,$A$2:$A$417,0))),IF(H71&lt;&gt;"",IF(INDEX($H$2:$H$417,MATCH($M71,$A$2:$A$417,0))="","",H71-INDEX($H$2:$H$417,MATCH($M71,$A$2:$A$417,0))),IF(O71&lt;&gt;"",IF(INDEX($O$2:$O$417,MATCH($M71,$A$2:$A$417,0))="","",O71-INDEX($O$2:$O$417,MATCH($M71,$A$2:$A$417,0))),IF(Q71&lt;&gt;"",IF(INDEX($Q$2:$Q$417,MATCH($M71,$A$2:$A$417,0))="","",Q71-INDEX($Q$2:$Q$417,MATCH($M71,$A$2:$A$417,0))),"")))),"")</f>
        <v/>
      </c>
      <c r="O71" s="16" t="n"/>
      <c r="P71" s="16" t="n"/>
      <c r="Q71" s="16" t="n"/>
      <c r="R71" s="16" t="n"/>
      <c r="S71" s="16" t="n"/>
      <c r="T71" s="16" t="n"/>
      <c r="U71" s="16" t="n"/>
      <c r="V71" s="16" t="n"/>
      <c r="W71" s="16" t="n"/>
      <c r="X71" s="16" t="n"/>
      <c r="Y71" s="20" t="n"/>
      <c r="Z71" s="20" t="n"/>
      <c r="AA71" s="16" t="n"/>
      <c r="AB71" s="21" t="inlineStr">
        <is>
          <t>distillation variant tl17_base: "tokenlearn (POTION-style) post-training on the PII train split"; dim 256, vocab 50254</t>
        </is>
      </c>
      <c r="AC71" s="21" t="n"/>
    </row>
    <row r="72" ht="28" customHeight="1">
      <c r="A72" s="2" t="inlineStr">
        <is>
          <t>R1.71</t>
        </is>
      </c>
      <c r="B72" s="3" t="n">
        <v>46254</v>
      </c>
      <c r="C72" s="2" t="inlineStr">
        <is>
          <t>sensitive</t>
        </is>
      </c>
      <c r="D72" s="2" t="inlineStr">
        <is>
          <t>tl17_vocab + standard head</t>
        </is>
      </c>
      <c r="E72" s="2" t="inlineStr">
        <is>
          <t>val100k</t>
        </is>
      </c>
      <c r="F72" s="4" t="inlineStr">
        <is>
          <t>T1</t>
        </is>
      </c>
      <c r="G72" s="5" t="n">
        <v>20000</v>
      </c>
      <c r="H72" s="6" t="n">
        <v>0.9871</v>
      </c>
      <c r="I72" s="6" t="n">
        <v>0.9806</v>
      </c>
      <c r="J72" s="6" t="n">
        <v>0.9429</v>
      </c>
      <c r="K72" s="7">
        <f>IF(OR(L72="",L72=0),"",1000/L72)</f>
        <v/>
      </c>
      <c r="L72" s="8" t="n">
        <v>1.376</v>
      </c>
      <c r="M72" s="4" t="inlineStr">
        <is>
          <t>R1.55</t>
        </is>
      </c>
      <c r="N72" s="9">
        <f>IFERROR(IF(P72&lt;&gt;"",IF(INDEX($P$2:$P$417,MATCH($M72,$A$2:$A$417,0))="","",P72-INDEX($P$2:$P$417,MATCH($M72,$A$2:$A$417,0))),IF(H72&lt;&gt;"",IF(INDEX($H$2:$H$417,MATCH($M72,$A$2:$A$417,0))="","",H72-INDEX($H$2:$H$417,MATCH($M72,$A$2:$A$417,0))),IF(O72&lt;&gt;"",IF(INDEX($O$2:$O$417,MATCH($M72,$A$2:$A$417,0))="","",O72-INDEX($O$2:$O$417,MATCH($M72,$A$2:$A$417,0))),IF(Q72&lt;&gt;"",IF(INDEX($Q$2:$Q$417,MATCH($M72,$A$2:$A$417,0))="","",Q72-INDEX($Q$2:$Q$417,MATCH($M72,$A$2:$A$417,0))),"")))),"")</f>
        <v/>
      </c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10" t="n"/>
      <c r="Z72" s="10" t="n"/>
      <c r="AA72" s="6" t="n"/>
      <c r="AB72" s="11" t="inlineStr">
        <is>
          <t>distillation variant tl17_vocab: "tokenlearn (POTION-style) post-training on the PII train split"; dim 256, vocab 50755</t>
        </is>
      </c>
      <c r="AC72" s="11" t="n"/>
    </row>
    <row r="73" ht="28" customHeight="1">
      <c r="A73" s="12" t="inlineStr">
        <is>
          <t>R1.72</t>
        </is>
      </c>
      <c r="B73" s="13" t="n">
        <v>46254</v>
      </c>
      <c r="C73" s="12" t="inlineStr">
        <is>
          <t>sensitive</t>
        </is>
      </c>
      <c r="D73" s="12" t="inlineStr">
        <is>
          <t>champion + head[combo_long_champ]</t>
        </is>
      </c>
      <c r="E73" s="12" t="inlineStr">
        <is>
          <t>holdout20k</t>
        </is>
      </c>
      <c r="F73" s="14" t="inlineStr">
        <is>
          <t>T1</t>
        </is>
      </c>
      <c r="G73" s="15" t="n">
        <v>20000</v>
      </c>
      <c r="H73" s="16" t="n">
        <v>0.9957</v>
      </c>
      <c r="I73" s="16" t="n">
        <v>0.991</v>
      </c>
      <c r="J73" s="16" t="n">
        <v>0.9661499999999998</v>
      </c>
      <c r="K73" s="17">
        <f>IF(OR(L73="",L73=0),"",1000/L73)</f>
        <v/>
      </c>
      <c r="L73" s="18" t="n">
        <v>1.492</v>
      </c>
      <c r="M73" s="14" t="inlineStr">
        <is>
          <t>champion + head[baseline]</t>
        </is>
      </c>
      <c r="N73" s="19">
        <f>IFERROR(IF(P73&lt;&gt;"",IF(INDEX($P$2:$P$417,MATCH($M73,$A$2:$A$417,0))="","",P73-INDEX($P$2:$P$417,MATCH($M73,$A$2:$A$417,0))),IF(H73&lt;&gt;"",IF(INDEX($H$2:$H$417,MATCH($M73,$A$2:$A$417,0))="","",H73-INDEX($H$2:$H$417,MATCH($M73,$A$2:$A$417,0))),IF(O73&lt;&gt;"",IF(INDEX($O$2:$O$417,MATCH($M73,$A$2:$A$417,0))="","",O73-INDEX($O$2:$O$417,MATCH($M73,$A$2:$A$417,0))),IF(Q73&lt;&gt;"",IF(INDEX($Q$2:$Q$417,MATCH($M73,$A$2:$A$417,0))="","",Q73-INDEX($Q$2:$Q$417,MATCH($M73,$A$2:$A$417,0))),"")))),"")</f>
        <v/>
      </c>
      <c r="O73" s="16" t="n"/>
      <c r="P73" s="16" t="n"/>
      <c r="Q73" s="16" t="n"/>
      <c r="R73" s="16" t="n"/>
      <c r="S73" s="16" t="n"/>
      <c r="T73" s="16" t="n"/>
      <c r="U73" s="16" t="n"/>
      <c r="V73" s="16" t="n"/>
      <c r="W73" s="16" t="n"/>
      <c r="X73" s="16" t="n"/>
      <c r="Y73" s="20" t="n"/>
      <c r="Z73" s="20" t="n"/>
      <c r="AA73" s="16" t="n"/>
      <c r="AB73" s="21" t="inlineStr">
        <is>
          <t>head sweep combo_long_champ: features=chunk, batch_size=1024, max_epochs=120, patience=10, encoder=champion</t>
        </is>
      </c>
      <c r="AC73" s="21" t="n"/>
    </row>
    <row r="74" ht="28" customHeight="1">
      <c r="A74" s="2" t="inlineStr">
        <is>
          <t>R1.73</t>
        </is>
      </c>
      <c r="B74" s="3" t="n">
        <v>46254</v>
      </c>
      <c r="C74" s="2" t="inlineStr">
        <is>
          <t>sensitive</t>
        </is>
      </c>
      <c r="D74" s="2" t="inlineStr">
        <is>
          <t>champion + head[enc_champion]</t>
        </is>
      </c>
      <c r="E74" s="2" t="inlineStr">
        <is>
          <t>holdout20k</t>
        </is>
      </c>
      <c r="F74" s="4" t="inlineStr">
        <is>
          <t>T1</t>
        </is>
      </c>
      <c r="G74" s="5" t="n">
        <v>20000</v>
      </c>
      <c r="H74" s="6" t="n">
        <v>0.97255</v>
      </c>
      <c r="I74" s="6" t="n">
        <v>0.9517</v>
      </c>
      <c r="J74" s="6" t="n">
        <v>0.887</v>
      </c>
      <c r="K74" s="7">
        <f>IF(OR(L74="",L74=0),"",1000/L74)</f>
        <v/>
      </c>
      <c r="L74" s="8" t="n">
        <v>1.492</v>
      </c>
      <c r="M74" s="4" t="inlineStr">
        <is>
          <t>champion + head[baseline]</t>
        </is>
      </c>
      <c r="N74" s="9">
        <f>IFERROR(IF(P74&lt;&gt;"",IF(INDEX($P$2:$P$417,MATCH($M74,$A$2:$A$417,0))="","",P74-INDEX($P$2:$P$417,MATCH($M74,$A$2:$A$417,0))),IF(H74&lt;&gt;"",IF(INDEX($H$2:$H$417,MATCH($M74,$A$2:$A$417,0))="","",H74-INDEX($H$2:$H$417,MATCH($M74,$A$2:$A$417,0))),IF(O74&lt;&gt;"",IF(INDEX($O$2:$O$417,MATCH($M74,$A$2:$A$417,0))="","",O74-INDEX($O$2:$O$417,MATCH($M74,$A$2:$A$417,0))),IF(Q74&lt;&gt;"",IF(INDEX($Q$2:$Q$417,MATCH($M74,$A$2:$A$417,0))="","",Q74-INDEX($Q$2:$Q$417,MATCH($M74,$A$2:$A$417,0))),"")))),"")</f>
        <v/>
      </c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10" t="n"/>
      <c r="Z74" s="10" t="n"/>
      <c r="AA74" s="6" t="n"/>
      <c r="AB74" s="11" t="inlineStr">
        <is>
          <t>head sweep enc_champion: encoder=champion</t>
        </is>
      </c>
      <c r="AC74" s="11" t="n"/>
    </row>
    <row r="75" ht="28" customHeight="1">
      <c r="A75" s="12" t="inlineStr">
        <is>
          <t>R1.74</t>
        </is>
      </c>
      <c r="B75" s="13" t="n">
        <v>46254</v>
      </c>
      <c r="C75" s="12" t="inlineStr">
        <is>
          <t>sensitive</t>
        </is>
      </c>
      <c r="D75" s="12" t="inlineStr">
        <is>
          <t>d17_base + head[enc_d17_base]</t>
        </is>
      </c>
      <c r="E75" s="12" t="inlineStr">
        <is>
          <t>holdout20k</t>
        </is>
      </c>
      <c r="F75" s="14" t="inlineStr">
        <is>
          <t>T1</t>
        </is>
      </c>
      <c r="G75" s="15" t="n">
        <v>20000</v>
      </c>
      <c r="H75" s="16" t="n">
        <v>0.9792</v>
      </c>
      <c r="I75" s="16" t="n">
        <v>0.96385</v>
      </c>
      <c r="J75" s="16" t="n">
        <v>0.9009</v>
      </c>
      <c r="K75" s="17">
        <f>IF(OR(L75="",L75=0),"",1000/L75)</f>
        <v/>
      </c>
      <c r="L75" s="18" t="n">
        <v>1.66</v>
      </c>
      <c r="M75" s="14" t="inlineStr">
        <is>
          <t>d17_base + head[baseline]</t>
        </is>
      </c>
      <c r="N75" s="19">
        <f>IFERROR(IF(P75&lt;&gt;"",IF(INDEX($P$2:$P$417,MATCH($M75,$A$2:$A$417,0))="","",P75-INDEX($P$2:$P$417,MATCH($M75,$A$2:$A$417,0))),IF(H75&lt;&gt;"",IF(INDEX($H$2:$H$417,MATCH($M75,$A$2:$A$417,0))="","",H75-INDEX($H$2:$H$417,MATCH($M75,$A$2:$A$417,0))),IF(O75&lt;&gt;"",IF(INDEX($O$2:$O$417,MATCH($M75,$A$2:$A$417,0))="","",O75-INDEX($O$2:$O$417,MATCH($M75,$A$2:$A$417,0))),IF(Q75&lt;&gt;"",IF(INDEX($Q$2:$Q$417,MATCH($M75,$A$2:$A$417,0))="","",Q75-INDEX($Q$2:$Q$417,MATCH($M75,$A$2:$A$417,0))),"")))),"")</f>
        <v/>
      </c>
      <c r="O75" s="16" t="n"/>
      <c r="P75" s="16" t="n"/>
      <c r="Q75" s="16" t="n"/>
      <c r="R75" s="16" t="n"/>
      <c r="S75" s="16" t="n"/>
      <c r="T75" s="16" t="n"/>
      <c r="U75" s="16" t="n"/>
      <c r="V75" s="16" t="n"/>
      <c r="W75" s="16" t="n"/>
      <c r="X75" s="16" t="n"/>
      <c r="Y75" s="20" t="n"/>
      <c r="Z75" s="20" t="n"/>
      <c r="AA75" s="16" t="n"/>
      <c r="AB75" s="21" t="inlineStr">
        <is>
          <t>head sweep enc_d17_base: encoder=d17_base</t>
        </is>
      </c>
      <c r="AC75" s="21" t="n"/>
    </row>
    <row r="76" ht="28" customHeight="1">
      <c r="A76" s="2" t="inlineStr">
        <is>
          <t>R1.75</t>
        </is>
      </c>
      <c r="B76" s="3" t="n">
        <v>46254</v>
      </c>
      <c r="C76" s="2" t="inlineStr">
        <is>
          <t>sensitive</t>
        </is>
      </c>
      <c r="D76" s="2" t="inlineStr">
        <is>
          <t>d68_base + head[combo_long_d68]</t>
        </is>
      </c>
      <c r="E76" s="2" t="inlineStr">
        <is>
          <t>holdout20k</t>
        </is>
      </c>
      <c r="F76" s="4" t="inlineStr">
        <is>
          <t>T1</t>
        </is>
      </c>
      <c r="G76" s="5" t="n">
        <v>20000</v>
      </c>
      <c r="H76" s="6" t="n">
        <v>0.9958</v>
      </c>
      <c r="I76" s="6" t="n">
        <v>0.9915</v>
      </c>
      <c r="J76" s="6" t="n">
        <v>0.9683</v>
      </c>
      <c r="K76" s="7">
        <f>IF(OR(L76="",L76=0),"",1000/L76)</f>
        <v/>
      </c>
      <c r="L76" s="8" t="n">
        <v>1.91</v>
      </c>
      <c r="M76" s="4" t="inlineStr">
        <is>
          <t>d68_base + head[baseline]</t>
        </is>
      </c>
      <c r="N76" s="9">
        <f>IFERROR(IF(P76&lt;&gt;"",IF(INDEX($P$2:$P$417,MATCH($M76,$A$2:$A$417,0))="","",P76-INDEX($P$2:$P$417,MATCH($M76,$A$2:$A$417,0))),IF(H76&lt;&gt;"",IF(INDEX($H$2:$H$417,MATCH($M76,$A$2:$A$417,0))="","",H76-INDEX($H$2:$H$417,MATCH($M76,$A$2:$A$417,0))),IF(O76&lt;&gt;"",IF(INDEX($O$2:$O$417,MATCH($M76,$A$2:$A$417,0))="","",O76-INDEX($O$2:$O$417,MATCH($M76,$A$2:$A$417,0))),IF(Q76&lt;&gt;"",IF(INDEX($Q$2:$Q$417,MATCH($M76,$A$2:$A$417,0))="","",Q76-INDEX($Q$2:$Q$417,MATCH($M76,$A$2:$A$417,0))),"")))),"")</f>
        <v/>
      </c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10" t="n"/>
      <c r="Z76" s="10" t="n"/>
      <c r="AA76" s="6" t="n"/>
      <c r="AB76" s="11" t="inlineStr">
        <is>
          <t>head sweep combo_long_d68: features=chunk, batch_size=1024, max_epochs=120, patience=10, encoder=d68_base</t>
        </is>
      </c>
      <c r="AC76" s="11" t="n"/>
    </row>
    <row r="77" ht="28" customHeight="1">
      <c r="A77" s="12" t="inlineStr">
        <is>
          <t>R1.76</t>
        </is>
      </c>
      <c r="B77" s="13" t="n">
        <v>46254</v>
      </c>
      <c r="C77" s="12" t="inlineStr">
        <is>
          <t>sensitive</t>
        </is>
      </c>
      <c r="D77" s="12" t="inlineStr">
        <is>
          <t>d68_base + head[enc_d68]</t>
        </is>
      </c>
      <c r="E77" s="12" t="inlineStr">
        <is>
          <t>holdout20k</t>
        </is>
      </c>
      <c r="F77" s="14" t="inlineStr">
        <is>
          <t>T1</t>
        </is>
      </c>
      <c r="G77" s="15" t="n">
        <v>20000</v>
      </c>
      <c r="H77" s="16" t="n">
        <v>0.98085</v>
      </c>
      <c r="I77" s="16" t="n">
        <v>0.96745</v>
      </c>
      <c r="J77" s="16" t="n">
        <v>0.91405</v>
      </c>
      <c r="K77" s="17">
        <f>IF(OR(L77="",L77=0),"",1000/L77)</f>
        <v/>
      </c>
      <c r="L77" s="18" t="n">
        <v>1.91</v>
      </c>
      <c r="M77" s="14" t="inlineStr">
        <is>
          <t>d68_base + head[baseline]</t>
        </is>
      </c>
      <c r="N77" s="19">
        <f>IFERROR(IF(P77&lt;&gt;"",IF(INDEX($P$2:$P$417,MATCH($M77,$A$2:$A$417,0))="","",P77-INDEX($P$2:$P$417,MATCH($M77,$A$2:$A$417,0))),IF(H77&lt;&gt;"",IF(INDEX($H$2:$H$417,MATCH($M77,$A$2:$A$417,0))="","",H77-INDEX($H$2:$H$417,MATCH($M77,$A$2:$A$417,0))),IF(O77&lt;&gt;"",IF(INDEX($O$2:$O$417,MATCH($M77,$A$2:$A$417,0))="","",O77-INDEX($O$2:$O$417,MATCH($M77,$A$2:$A$417,0))),IF(Q77&lt;&gt;"",IF(INDEX($Q$2:$Q$417,MATCH($M77,$A$2:$A$417,0))="","",Q77-INDEX($Q$2:$Q$417,MATCH($M77,$A$2:$A$417,0))),"")))),"")</f>
        <v/>
      </c>
      <c r="O77" s="16" t="n"/>
      <c r="P77" s="16" t="n"/>
      <c r="Q77" s="16" t="n"/>
      <c r="R77" s="16" t="n"/>
      <c r="S77" s="16" t="n"/>
      <c r="T77" s="16" t="n"/>
      <c r="U77" s="16" t="n"/>
      <c r="V77" s="16" t="n"/>
      <c r="W77" s="16" t="n"/>
      <c r="X77" s="16" t="n"/>
      <c r="Y77" s="20" t="n"/>
      <c r="Z77" s="20" t="n"/>
      <c r="AA77" s="16" t="n"/>
      <c r="AB77" s="21" t="inlineStr">
        <is>
          <t>head sweep enc_d68: encoder=d68_base</t>
        </is>
      </c>
      <c r="AC77" s="21" t="n"/>
    </row>
    <row r="78" ht="28" customHeight="1">
      <c r="A78" s="2" t="inlineStr">
        <is>
          <t>R1.77</t>
        </is>
      </c>
      <c r="B78" s="3" t="n">
        <v>46254</v>
      </c>
      <c r="C78" s="2" t="inlineStr">
        <is>
          <t>sensitive</t>
        </is>
      </c>
      <c r="D78" s="2" t="inlineStr">
        <is>
          <t>tl17_base + head[baseline]</t>
        </is>
      </c>
      <c r="E78" s="2" t="inlineStr">
        <is>
          <t>holdout20k</t>
        </is>
      </c>
      <c r="F78" s="4" t="inlineStr">
        <is>
          <t>T1</t>
        </is>
      </c>
      <c r="G78" s="5" t="n">
        <v>20000</v>
      </c>
      <c r="H78" s="6" t="n">
        <v>0.9886</v>
      </c>
      <c r="I78" s="6" t="n">
        <v>0.9815</v>
      </c>
      <c r="J78" s="6" t="n">
        <v>0.9441000000000001</v>
      </c>
      <c r="K78" s="7">
        <f>IF(OR(L78="",L78=0),"",1000/L78)</f>
        <v/>
      </c>
      <c r="L78" s="8" t="n">
        <v>1.341</v>
      </c>
      <c r="M78" s="4" t="n"/>
      <c r="N78" s="9">
        <f>IFERROR(IF(P78&lt;&gt;"",IF(INDEX($P$2:$P$417,MATCH($M78,$A$2:$A$417,0))="","",P78-INDEX($P$2:$P$417,MATCH($M78,$A$2:$A$417,0))),IF(H78&lt;&gt;"",IF(INDEX($H$2:$H$417,MATCH($M78,$A$2:$A$417,0))="","",H78-INDEX($H$2:$H$417,MATCH($M78,$A$2:$A$417,0))),IF(O78&lt;&gt;"",IF(INDEX($O$2:$O$417,MATCH($M78,$A$2:$A$417,0))="","",O78-INDEX($O$2:$O$417,MATCH($M78,$A$2:$A$417,0))),IF(Q78&lt;&gt;"",IF(INDEX($Q$2:$Q$417,MATCH($M78,$A$2:$A$417,0))="","",Q78-INDEX($Q$2:$Q$417,MATCH($M78,$A$2:$A$417,0))),"")))),"")</f>
        <v/>
      </c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10" t="n"/>
      <c r="Z78" s="10" t="n"/>
      <c r="AA78" s="6" t="n"/>
      <c r="AB78" s="11" t="inlineStr">
        <is>
          <t>head sweep baseline: baseline config</t>
        </is>
      </c>
      <c r="AC78" s="11" t="n"/>
    </row>
    <row r="79" ht="28" customHeight="1">
      <c r="A79" s="12" t="inlineStr">
        <is>
          <t>R1.78</t>
        </is>
      </c>
      <c r="B79" s="13" t="n">
        <v>46254</v>
      </c>
      <c r="C79" s="12" t="inlineStr">
        <is>
          <t>sensitive</t>
        </is>
      </c>
      <c r="D79" s="12" t="inlineStr">
        <is>
          <t>tl17_base + head[batch1024]</t>
        </is>
      </c>
      <c r="E79" s="12" t="inlineStr">
        <is>
          <t>holdout20k</t>
        </is>
      </c>
      <c r="F79" s="14" t="inlineStr">
        <is>
          <t>T1</t>
        </is>
      </c>
      <c r="G79" s="15" t="n">
        <v>20000</v>
      </c>
      <c r="H79" s="16" t="n">
        <v>0.9941</v>
      </c>
      <c r="I79" s="16" t="n">
        <v>0.9898</v>
      </c>
      <c r="J79" s="16" t="n">
        <v>0.96565</v>
      </c>
      <c r="K79" s="17">
        <f>IF(OR(L79="",L79=0),"",1000/L79)</f>
        <v/>
      </c>
      <c r="L79" s="18" t="n">
        <v>1.341</v>
      </c>
      <c r="M79" s="14" t="inlineStr">
        <is>
          <t>R1.77</t>
        </is>
      </c>
      <c r="N79" s="19">
        <f>IFERROR(IF(P79&lt;&gt;"",IF(INDEX($P$2:$P$417,MATCH($M79,$A$2:$A$417,0))="","",P79-INDEX($P$2:$P$417,MATCH($M79,$A$2:$A$417,0))),IF(H79&lt;&gt;"",IF(INDEX($H$2:$H$417,MATCH($M79,$A$2:$A$417,0))="","",H79-INDEX($H$2:$H$417,MATCH($M79,$A$2:$A$417,0))),IF(O79&lt;&gt;"",IF(INDEX($O$2:$O$417,MATCH($M79,$A$2:$A$417,0))="","",O79-INDEX($O$2:$O$417,MATCH($M79,$A$2:$A$417,0))),IF(Q79&lt;&gt;"",IF(INDEX($Q$2:$Q$417,MATCH($M79,$A$2:$A$417,0))="","",Q79-INDEX($Q$2:$Q$417,MATCH($M79,$A$2:$A$417,0))),"")))),"")</f>
        <v/>
      </c>
      <c r="O79" s="16" t="n"/>
      <c r="P79" s="16" t="n"/>
      <c r="Q79" s="16" t="n"/>
      <c r="R79" s="16" t="n"/>
      <c r="S79" s="16" t="n"/>
      <c r="T79" s="16" t="n"/>
      <c r="U79" s="16" t="n"/>
      <c r="V79" s="16" t="n"/>
      <c r="W79" s="16" t="n"/>
      <c r="X79" s="16" t="n"/>
      <c r="Y79" s="20" t="n"/>
      <c r="Z79" s="20" t="n"/>
      <c r="AA79" s="16" t="n"/>
      <c r="AB79" s="21" t="inlineStr">
        <is>
          <t>head sweep batch1024: batch_size=1024</t>
        </is>
      </c>
      <c r="AC79" s="21" t="n"/>
    </row>
    <row r="80" ht="28" customHeight="1">
      <c r="A80" s="2" t="inlineStr">
        <is>
          <t>R1.79</t>
        </is>
      </c>
      <c r="B80" s="3" t="n">
        <v>46254</v>
      </c>
      <c r="C80" s="2" t="inlineStr">
        <is>
          <t>sensitive</t>
        </is>
      </c>
      <c r="D80" s="2" t="inlineStr">
        <is>
          <t>tl17_base + head[batch16384]</t>
        </is>
      </c>
      <c r="E80" s="2" t="inlineStr">
        <is>
          <t>holdout20k</t>
        </is>
      </c>
      <c r="F80" s="4" t="inlineStr">
        <is>
          <t>T1</t>
        </is>
      </c>
      <c r="G80" s="5" t="n">
        <v>20000</v>
      </c>
      <c r="H80" s="6" t="n">
        <v>0.967</v>
      </c>
      <c r="I80" s="6" t="n">
        <v>0.9476</v>
      </c>
      <c r="J80" s="6" t="n">
        <v>0.87975</v>
      </c>
      <c r="K80" s="7">
        <f>IF(OR(L80="",L80=0),"",1000/L80)</f>
        <v/>
      </c>
      <c r="L80" s="8" t="n">
        <v>1.341</v>
      </c>
      <c r="M80" s="4" t="inlineStr">
        <is>
          <t>R1.77</t>
        </is>
      </c>
      <c r="N80" s="9">
        <f>IFERROR(IF(P80&lt;&gt;"",IF(INDEX($P$2:$P$417,MATCH($M80,$A$2:$A$417,0))="","",P80-INDEX($P$2:$P$417,MATCH($M80,$A$2:$A$417,0))),IF(H80&lt;&gt;"",IF(INDEX($H$2:$H$417,MATCH($M80,$A$2:$A$417,0))="","",H80-INDEX($H$2:$H$417,MATCH($M80,$A$2:$A$417,0))),IF(O80&lt;&gt;"",IF(INDEX($O$2:$O$417,MATCH($M80,$A$2:$A$417,0))="","",O80-INDEX($O$2:$O$417,MATCH($M80,$A$2:$A$417,0))),IF(Q80&lt;&gt;"",IF(INDEX($Q$2:$Q$417,MATCH($M80,$A$2:$A$417,0))="","",Q80-INDEX($Q$2:$Q$417,MATCH($M80,$A$2:$A$417,0))),"")))),"")</f>
        <v/>
      </c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10" t="n"/>
      <c r="Z80" s="10" t="n"/>
      <c r="AA80" s="6" t="n"/>
      <c r="AB80" s="11" t="inlineStr">
        <is>
          <t>head sweep batch16384: batch_size=16384</t>
        </is>
      </c>
      <c r="AC80" s="11" t="n"/>
    </row>
    <row r="81" ht="28" customHeight="1">
      <c r="A81" s="12" t="inlineStr">
        <is>
          <t>R1.80</t>
        </is>
      </c>
      <c r="B81" s="13" t="n">
        <v>46254</v>
      </c>
      <c r="C81" s="12" t="inlineStr">
        <is>
          <t>sensitive</t>
        </is>
      </c>
      <c r="D81" s="12" t="inlineStr">
        <is>
          <t>tl17_base + head[chunk1000x20]</t>
        </is>
      </c>
      <c r="E81" s="12" t="inlineStr">
        <is>
          <t>holdout20k</t>
        </is>
      </c>
      <c r="F81" s="14" t="inlineStr">
        <is>
          <t>T1</t>
        </is>
      </c>
      <c r="G81" s="15" t="n">
        <v>20000</v>
      </c>
      <c r="H81" s="16" t="n">
        <v>0.9883000000000001</v>
      </c>
      <c r="I81" s="16" t="n">
        <v>0.9805</v>
      </c>
      <c r="J81" s="16" t="n">
        <v>0.9382</v>
      </c>
      <c r="K81" s="17">
        <f>IF(OR(L81="",L81=0),"",1000/L81)</f>
        <v/>
      </c>
      <c r="L81" s="18" t="n">
        <v>1.402</v>
      </c>
      <c r="M81" s="14" t="inlineStr">
        <is>
          <t>R1.77</t>
        </is>
      </c>
      <c r="N81" s="19">
        <f>IFERROR(IF(P81&lt;&gt;"",IF(INDEX($P$2:$P$417,MATCH($M81,$A$2:$A$417,0))="","",P81-INDEX($P$2:$P$417,MATCH($M81,$A$2:$A$417,0))),IF(H81&lt;&gt;"",IF(INDEX($H$2:$H$417,MATCH($M81,$A$2:$A$417,0))="","",H81-INDEX($H$2:$H$417,MATCH($M81,$A$2:$A$417,0))),IF(O81&lt;&gt;"",IF(INDEX($O$2:$O$417,MATCH($M81,$A$2:$A$417,0))="","",O81-INDEX($O$2:$O$417,MATCH($M81,$A$2:$A$417,0))),IF(Q81&lt;&gt;"",IF(INDEX($Q$2:$Q$417,MATCH($M81,$A$2:$A$417,0))="","",Q81-INDEX($Q$2:$Q$417,MATCH($M81,$A$2:$A$417,0))),"")))),"")</f>
        <v/>
      </c>
      <c r="O81" s="16" t="n"/>
      <c r="P81" s="16" t="n"/>
      <c r="Q81" s="16" t="n"/>
      <c r="R81" s="16" t="n"/>
      <c r="S81" s="16" t="n"/>
      <c r="T81" s="16" t="n"/>
      <c r="U81" s="16" t="n"/>
      <c r="V81" s="16" t="n"/>
      <c r="W81" s="16" t="n"/>
      <c r="X81" s="16" t="n"/>
      <c r="Y81" s="20" t="n"/>
      <c r="Z81" s="20" t="n"/>
      <c r="AA81" s="16" t="n"/>
      <c r="AB81" s="21" t="inlineStr">
        <is>
          <t>head sweep chunk1000x20: chunk_chars=1000, max_chunks=20</t>
        </is>
      </c>
      <c r="AC81" s="21" t="n"/>
    </row>
    <row r="82" ht="28" customHeight="1">
      <c r="A82" s="2" t="inlineStr">
        <is>
          <t>R1.81</t>
        </is>
      </c>
      <c r="B82" s="3" t="n">
        <v>46254</v>
      </c>
      <c r="C82" s="2" t="inlineStr">
        <is>
          <t>sensitive</t>
        </is>
      </c>
      <c r="D82" s="2" t="inlineStr">
        <is>
          <t>tl17_base + head[chunk4000x5]</t>
        </is>
      </c>
      <c r="E82" s="2" t="inlineStr">
        <is>
          <t>holdout20k</t>
        </is>
      </c>
      <c r="F82" s="4" t="inlineStr">
        <is>
          <t>T1</t>
        </is>
      </c>
      <c r="G82" s="5" t="n">
        <v>20000</v>
      </c>
      <c r="H82" s="6" t="n">
        <v>0.98795</v>
      </c>
      <c r="I82" s="6" t="n">
        <v>0.9814000000000001</v>
      </c>
      <c r="J82" s="6" t="n">
        <v>0.94565</v>
      </c>
      <c r="K82" s="7">
        <f>IF(OR(L82="",L82=0),"",1000/L82)</f>
        <v/>
      </c>
      <c r="L82" s="8" t="n">
        <v>1.114</v>
      </c>
      <c r="M82" s="4" t="inlineStr">
        <is>
          <t>R1.77</t>
        </is>
      </c>
      <c r="N82" s="9">
        <f>IFERROR(IF(P82&lt;&gt;"",IF(INDEX($P$2:$P$417,MATCH($M82,$A$2:$A$417,0))="","",P82-INDEX($P$2:$P$417,MATCH($M82,$A$2:$A$417,0))),IF(H82&lt;&gt;"",IF(INDEX($H$2:$H$417,MATCH($M82,$A$2:$A$417,0))="","",H82-INDEX($H$2:$H$417,MATCH($M82,$A$2:$A$417,0))),IF(O82&lt;&gt;"",IF(INDEX($O$2:$O$417,MATCH($M82,$A$2:$A$417,0))="","",O82-INDEX($O$2:$O$417,MATCH($M82,$A$2:$A$417,0))),IF(Q82&lt;&gt;"",IF(INDEX($Q$2:$Q$417,MATCH($M82,$A$2:$A$417,0))="","",Q82-INDEX($Q$2:$Q$417,MATCH($M82,$A$2:$A$417,0))),"")))),"")</f>
        <v/>
      </c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10" t="n"/>
      <c r="Z82" s="10" t="n"/>
      <c r="AA82" s="6" t="n"/>
      <c r="AB82" s="11" t="inlineStr">
        <is>
          <t>head sweep chunk4000x5: chunk_chars=4000, max_chunks=5</t>
        </is>
      </c>
      <c r="AC82" s="11" t="n"/>
    </row>
    <row r="83" ht="28" customHeight="1">
      <c r="A83" s="12" t="inlineStr">
        <is>
          <t>R1.82</t>
        </is>
      </c>
      <c r="B83" s="13" t="n">
        <v>46254</v>
      </c>
      <c r="C83" s="12" t="inlineStr">
        <is>
          <t>sensitive</t>
        </is>
      </c>
      <c r="D83" s="12" t="inlineStr">
        <is>
          <t>tl17_base + head[combo_chunk_b1k]</t>
        </is>
      </c>
      <c r="E83" s="12" t="inlineStr">
        <is>
          <t>holdout20k</t>
        </is>
      </c>
      <c r="F83" s="14" t="inlineStr">
        <is>
          <t>T1</t>
        </is>
      </c>
      <c r="G83" s="15" t="n">
        <v>20000</v>
      </c>
      <c r="H83" s="16" t="n">
        <v>0.99675</v>
      </c>
      <c r="I83" s="16" t="n">
        <v>0.9937</v>
      </c>
      <c r="J83" s="16" t="n">
        <v>0.97495</v>
      </c>
      <c r="K83" s="17">
        <f>IF(OR(L83="",L83=0),"",1000/L83)</f>
        <v/>
      </c>
      <c r="L83" s="18" t="n">
        <v>1.341</v>
      </c>
      <c r="M83" s="14" t="inlineStr">
        <is>
          <t>R1.77</t>
        </is>
      </c>
      <c r="N83" s="19">
        <f>IFERROR(IF(P83&lt;&gt;"",IF(INDEX($P$2:$P$417,MATCH($M83,$A$2:$A$417,0))="","",P83-INDEX($P$2:$P$417,MATCH($M83,$A$2:$A$417,0))),IF(H83&lt;&gt;"",IF(INDEX($H$2:$H$417,MATCH($M83,$A$2:$A$417,0))="","",H83-INDEX($H$2:$H$417,MATCH($M83,$A$2:$A$417,0))),IF(O83&lt;&gt;"",IF(INDEX($O$2:$O$417,MATCH($M83,$A$2:$A$417,0))="","",O83-INDEX($O$2:$O$417,MATCH($M83,$A$2:$A$417,0))),IF(Q83&lt;&gt;"",IF(INDEX($Q$2:$Q$417,MATCH($M83,$A$2:$A$417,0))="","",Q83-INDEX($Q$2:$Q$417,MATCH($M83,$A$2:$A$417,0))),"")))),"")</f>
        <v/>
      </c>
      <c r="O83" s="16" t="n"/>
      <c r="P83" s="16" t="n"/>
      <c r="Q83" s="16" t="n"/>
      <c r="R83" s="16" t="n"/>
      <c r="S83" s="16" t="n"/>
      <c r="T83" s="16" t="n"/>
      <c r="U83" s="16" t="n"/>
      <c r="V83" s="16" t="n"/>
      <c r="W83" s="16" t="n"/>
      <c r="X83" s="16" t="n"/>
      <c r="Y83" s="20" t="n"/>
      <c r="Z83" s="20" t="n"/>
      <c r="AA83" s="16" t="n"/>
      <c r="AB83" s="21" t="inlineStr">
        <is>
          <t>head sweep combo_chunk_b1k: features=chunk, batch_size=1024</t>
        </is>
      </c>
      <c r="AC83" s="21" t="n"/>
    </row>
    <row r="84" ht="28" customHeight="1">
      <c r="A84" s="2" t="inlineStr">
        <is>
          <t>R1.83</t>
        </is>
      </c>
      <c r="B84" s="3" t="n">
        <v>46254</v>
      </c>
      <c r="C84" s="2" t="inlineStr">
        <is>
          <t>sensitive</t>
        </is>
      </c>
      <c r="D84" s="2" t="inlineStr">
        <is>
          <t>tl17_base + head[combo_long]</t>
        </is>
      </c>
      <c r="E84" s="2" t="inlineStr">
        <is>
          <t>holdout20k</t>
        </is>
      </c>
      <c r="F84" s="4" t="inlineStr">
        <is>
          <t>T1</t>
        </is>
      </c>
      <c r="G84" s="5" t="n">
        <v>20000</v>
      </c>
      <c r="H84" s="6" t="n">
        <v>0.9976</v>
      </c>
      <c r="I84" s="6" t="n">
        <v>0.9952</v>
      </c>
      <c r="J84" s="6" t="n">
        <v>0.9772</v>
      </c>
      <c r="K84" s="7">
        <f>IF(OR(L84="",L84=0),"",1000/L84)</f>
        <v/>
      </c>
      <c r="L84" s="8" t="n">
        <v>1.341</v>
      </c>
      <c r="M84" s="4" t="inlineStr">
        <is>
          <t>R1.77</t>
        </is>
      </c>
      <c r="N84" s="9">
        <f>IFERROR(IF(P84&lt;&gt;"",IF(INDEX($P$2:$P$417,MATCH($M84,$A$2:$A$417,0))="","",P84-INDEX($P$2:$P$417,MATCH($M84,$A$2:$A$417,0))),IF(H84&lt;&gt;"",IF(INDEX($H$2:$H$417,MATCH($M84,$A$2:$A$417,0))="","",H84-INDEX($H$2:$H$417,MATCH($M84,$A$2:$A$417,0))),IF(O84&lt;&gt;"",IF(INDEX($O$2:$O$417,MATCH($M84,$A$2:$A$417,0))="","",O84-INDEX($O$2:$O$417,MATCH($M84,$A$2:$A$417,0))),IF(Q84&lt;&gt;"",IF(INDEX($Q$2:$Q$417,MATCH($M84,$A$2:$A$417,0))="","",Q84-INDEX($Q$2:$Q$417,MATCH($M84,$A$2:$A$417,0))),"")))),"")</f>
        <v/>
      </c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10" t="n"/>
      <c r="Z84" s="10" t="n"/>
      <c r="AA84" s="6" t="n"/>
      <c r="AB84" s="11" t="inlineStr">
        <is>
          <t>head sweep combo_long: features=chunk, batch_size=1024, max_epochs=120, patience=10</t>
        </is>
      </c>
      <c r="AC84" s="11" t="n"/>
    </row>
    <row r="85" ht="28" customHeight="1">
      <c r="A85" s="12" t="inlineStr">
        <is>
          <t>R1.84</t>
        </is>
      </c>
      <c r="B85" s="13" t="n">
        <v>46254</v>
      </c>
      <c r="C85" s="12" t="inlineStr">
        <is>
          <t>sensitive</t>
        </is>
      </c>
      <c r="D85" s="12" t="inlineStr">
        <is>
          <t>tl17_base + head[combo_long_h2048]</t>
        </is>
      </c>
      <c r="E85" s="12" t="inlineStr">
        <is>
          <t>holdout20k</t>
        </is>
      </c>
      <c r="F85" s="14" t="inlineStr">
        <is>
          <t>T1</t>
        </is>
      </c>
      <c r="G85" s="15" t="n">
        <v>20000</v>
      </c>
      <c r="H85" s="16" t="n">
        <v>0.9974</v>
      </c>
      <c r="I85" s="16" t="n">
        <v>0.9952</v>
      </c>
      <c r="J85" s="16" t="n">
        <v>0.979</v>
      </c>
      <c r="K85" s="17">
        <f>IF(OR(L85="",L85=0),"",1000/L85)</f>
        <v/>
      </c>
      <c r="L85" s="18" t="n">
        <v>1.467</v>
      </c>
      <c r="M85" s="14" t="inlineStr">
        <is>
          <t>R1.77</t>
        </is>
      </c>
      <c r="N85" s="19">
        <f>IFERROR(IF(P85&lt;&gt;"",IF(INDEX($P$2:$P$417,MATCH($M85,$A$2:$A$417,0))="","",P85-INDEX($P$2:$P$417,MATCH($M85,$A$2:$A$417,0))),IF(H85&lt;&gt;"",IF(INDEX($H$2:$H$417,MATCH($M85,$A$2:$A$417,0))="","",H85-INDEX($H$2:$H$417,MATCH($M85,$A$2:$A$417,0))),IF(O85&lt;&gt;"",IF(INDEX($O$2:$O$417,MATCH($M85,$A$2:$A$417,0))="","",O85-INDEX($O$2:$O$417,MATCH($M85,$A$2:$A$417,0))),IF(Q85&lt;&gt;"",IF(INDEX($Q$2:$Q$417,MATCH($M85,$A$2:$A$417,0))="","",Q85-INDEX($Q$2:$Q$417,MATCH($M85,$A$2:$A$417,0))),"")))),"")</f>
        <v/>
      </c>
      <c r="O85" s="16" t="n"/>
      <c r="P85" s="16" t="n"/>
      <c r="Q85" s="16" t="n"/>
      <c r="R85" s="16" t="n"/>
      <c r="S85" s="16" t="n"/>
      <c r="T85" s="16" t="n"/>
      <c r="U85" s="16" t="n"/>
      <c r="V85" s="16" t="n"/>
      <c r="W85" s="16" t="n"/>
      <c r="X85" s="16" t="n"/>
      <c r="Y85" s="20" t="n"/>
      <c r="Z85" s="20" t="n"/>
      <c r="AA85" s="16" t="n"/>
      <c r="AB85" s="21" t="inlineStr">
        <is>
          <t>head sweep combo_long_h2048: features=chunk, batch_size=1024, max_epochs=120, patience=10, hidden_dim=2048</t>
        </is>
      </c>
      <c r="AC85" s="21" t="n"/>
    </row>
    <row r="86" ht="28" customHeight="1">
      <c r="A86" s="2" t="inlineStr">
        <is>
          <t>R1.85</t>
        </is>
      </c>
      <c r="B86" s="3" t="n">
        <v>46254</v>
      </c>
      <c r="C86" s="2" t="inlineStr">
        <is>
          <t>sensitive</t>
        </is>
      </c>
      <c r="D86" s="2" t="inlineStr">
        <is>
          <t>tl17_base + head[combo_long_l2]</t>
        </is>
      </c>
      <c r="E86" s="2" t="inlineStr">
        <is>
          <t>holdout20k</t>
        </is>
      </c>
      <c r="F86" s="4" t="inlineStr">
        <is>
          <t>T1</t>
        </is>
      </c>
      <c r="G86" s="5" t="n">
        <v>20000</v>
      </c>
      <c r="H86" s="6" t="n">
        <v>0.9973</v>
      </c>
      <c r="I86" s="6" t="n">
        <v>0.99465</v>
      </c>
      <c r="J86" s="6" t="n">
        <v>0.97795</v>
      </c>
      <c r="K86" s="7">
        <f>IF(OR(L86="",L86=0),"",1000/L86)</f>
        <v/>
      </c>
      <c r="L86" s="8" t="n">
        <v>1.408</v>
      </c>
      <c r="M86" s="4" t="inlineStr">
        <is>
          <t>R1.77</t>
        </is>
      </c>
      <c r="N86" s="9">
        <f>IFERROR(IF(P86&lt;&gt;"",IF(INDEX($P$2:$P$417,MATCH($M86,$A$2:$A$417,0))="","",P86-INDEX($P$2:$P$417,MATCH($M86,$A$2:$A$417,0))),IF(H86&lt;&gt;"",IF(INDEX($H$2:$H$417,MATCH($M86,$A$2:$A$417,0))="","",H86-INDEX($H$2:$H$417,MATCH($M86,$A$2:$A$417,0))),IF(O86&lt;&gt;"",IF(INDEX($O$2:$O$417,MATCH($M86,$A$2:$A$417,0))="","",O86-INDEX($O$2:$O$417,MATCH($M86,$A$2:$A$417,0))),IF(Q86&lt;&gt;"",IF(INDEX($Q$2:$Q$417,MATCH($M86,$A$2:$A$417,0))="","",Q86-INDEX($Q$2:$Q$417,MATCH($M86,$A$2:$A$417,0))),"")))),"")</f>
        <v/>
      </c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10" t="n"/>
      <c r="Z86" s="10" t="n"/>
      <c r="AA86" s="6" t="n"/>
      <c r="AB86" s="11" t="inlineStr">
        <is>
          <t>head sweep combo_long_l2: features=chunk, batch_size=1024, max_epochs=120, patience=10, n_layers=2</t>
        </is>
      </c>
      <c r="AC86" s="11" t="n"/>
    </row>
    <row r="87" ht="28" customHeight="1">
      <c r="A87" s="12" t="inlineStr">
        <is>
          <t>R1.86</t>
        </is>
      </c>
      <c r="B87" s="13" t="n">
        <v>46254</v>
      </c>
      <c r="C87" s="12" t="inlineStr">
        <is>
          <t>sensitive</t>
        </is>
      </c>
      <c r="D87" s="12" t="inlineStr">
        <is>
          <t>tl17_base + head[combo_long_lr3e-3]</t>
        </is>
      </c>
      <c r="E87" s="12" t="inlineStr">
        <is>
          <t>holdout20k</t>
        </is>
      </c>
      <c r="F87" s="14" t="inlineStr">
        <is>
          <t>T1</t>
        </is>
      </c>
      <c r="G87" s="15" t="n">
        <v>20000</v>
      </c>
      <c r="H87" s="16" t="n">
        <v>0.99735</v>
      </c>
      <c r="I87" s="16" t="n">
        <v>0.9947</v>
      </c>
      <c r="J87" s="16" t="n">
        <v>0.97705</v>
      </c>
      <c r="K87" s="17">
        <f>IF(OR(L87="",L87=0),"",1000/L87)</f>
        <v/>
      </c>
      <c r="L87" s="18" t="n">
        <v>1.341</v>
      </c>
      <c r="M87" s="14" t="inlineStr">
        <is>
          <t>R1.77</t>
        </is>
      </c>
      <c r="N87" s="19">
        <f>IFERROR(IF(P87&lt;&gt;"",IF(INDEX($P$2:$P$417,MATCH($M87,$A$2:$A$417,0))="","",P87-INDEX($P$2:$P$417,MATCH($M87,$A$2:$A$417,0))),IF(H87&lt;&gt;"",IF(INDEX($H$2:$H$417,MATCH($M87,$A$2:$A$417,0))="","",H87-INDEX($H$2:$H$417,MATCH($M87,$A$2:$A$417,0))),IF(O87&lt;&gt;"",IF(INDEX($O$2:$O$417,MATCH($M87,$A$2:$A$417,0))="","",O87-INDEX($O$2:$O$417,MATCH($M87,$A$2:$A$417,0))),IF(Q87&lt;&gt;"",IF(INDEX($Q$2:$Q$417,MATCH($M87,$A$2:$A$417,0))="","",Q87-INDEX($Q$2:$Q$417,MATCH($M87,$A$2:$A$417,0))),"")))),"")</f>
        <v/>
      </c>
      <c r="O87" s="16" t="n"/>
      <c r="P87" s="16" t="n"/>
      <c r="Q87" s="16" t="n"/>
      <c r="R87" s="16" t="n"/>
      <c r="S87" s="16" t="n"/>
      <c r="T87" s="16" t="n"/>
      <c r="U87" s="16" t="n"/>
      <c r="V87" s="16" t="n"/>
      <c r="W87" s="16" t="n"/>
      <c r="X87" s="16" t="n"/>
      <c r="Y87" s="20" t="n"/>
      <c r="Z87" s="20" t="n"/>
      <c r="AA87" s="16" t="n"/>
      <c r="AB87" s="21" t="inlineStr">
        <is>
          <t>head sweep combo_long_lr3e-3: features=chunk, batch_size=1024, max_epochs=120, patience=10, lr=0.003</t>
        </is>
      </c>
      <c r="AC87" s="21" t="n"/>
    </row>
    <row r="88" ht="28" customHeight="1">
      <c r="A88" s="2" t="inlineStr">
        <is>
          <t>R1.87</t>
        </is>
      </c>
      <c r="B88" s="3" t="n">
        <v>46254</v>
      </c>
      <c r="C88" s="2" t="inlineStr">
        <is>
          <t>sensitive</t>
        </is>
      </c>
      <c r="D88" s="2" t="inlineStr">
        <is>
          <t>tl17_base + head[combo_long_noisyor]</t>
        </is>
      </c>
      <c r="E88" s="2" t="inlineStr">
        <is>
          <t>holdout20k</t>
        </is>
      </c>
      <c r="F88" s="4" t="inlineStr">
        <is>
          <t>T1</t>
        </is>
      </c>
      <c r="G88" s="5" t="n">
        <v>20000</v>
      </c>
      <c r="H88" s="6" t="n">
        <v>0.9976</v>
      </c>
      <c r="I88" s="6" t="n">
        <v>0.99535</v>
      </c>
      <c r="J88" s="6" t="n">
        <v>0.9757</v>
      </c>
      <c r="K88" s="7">
        <f>IF(OR(L88="",L88=0),"",1000/L88)</f>
        <v/>
      </c>
      <c r="L88" s="8" t="n">
        <v>1.341</v>
      </c>
      <c r="M88" s="4" t="inlineStr">
        <is>
          <t>R1.77</t>
        </is>
      </c>
      <c r="N88" s="9">
        <f>IFERROR(IF(P88&lt;&gt;"",IF(INDEX($P$2:$P$417,MATCH($M88,$A$2:$A$417,0))="","",P88-INDEX($P$2:$P$417,MATCH($M88,$A$2:$A$417,0))),IF(H88&lt;&gt;"",IF(INDEX($H$2:$H$417,MATCH($M88,$A$2:$A$417,0))="","",H88-INDEX($H$2:$H$417,MATCH($M88,$A$2:$A$417,0))),IF(O88&lt;&gt;"",IF(INDEX($O$2:$O$417,MATCH($M88,$A$2:$A$417,0))="","",O88-INDEX($O$2:$O$417,MATCH($M88,$A$2:$A$417,0))),IF(Q88&lt;&gt;"",IF(INDEX($Q$2:$Q$417,MATCH($M88,$A$2:$A$417,0))="","",Q88-INDEX($Q$2:$Q$417,MATCH($M88,$A$2:$A$417,0))),"")))),"")</f>
        <v/>
      </c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10" t="n"/>
      <c r="Z88" s="10" t="n"/>
      <c r="AA88" s="6" t="n"/>
      <c r="AB88" s="11" t="inlineStr">
        <is>
          <t>head sweep combo_long_noisyor: features=chunk, batch_size=1024, max_epochs=120, patience=10, fusion=noisy_or</t>
        </is>
      </c>
      <c r="AC88" s="11" t="n"/>
    </row>
    <row r="89" ht="28" customHeight="1">
      <c r="A89" s="12" t="inlineStr">
        <is>
          <t>R1.88</t>
        </is>
      </c>
      <c r="B89" s="13" t="n">
        <v>46254</v>
      </c>
      <c r="C89" s="12" t="inlineStr">
        <is>
          <t>sensitive</t>
        </is>
      </c>
      <c r="D89" s="12" t="inlineStr">
        <is>
          <t>tl17_base + head[combo_long_pertag]</t>
        </is>
      </c>
      <c r="E89" s="12" t="inlineStr">
        <is>
          <t>holdout20k</t>
        </is>
      </c>
      <c r="F89" s="14" t="inlineStr">
        <is>
          <t>T1</t>
        </is>
      </c>
      <c r="G89" s="15" t="n">
        <v>20000</v>
      </c>
      <c r="H89" s="16" t="n">
        <v>0.99755</v>
      </c>
      <c r="I89" s="16" t="n">
        <v>0.99415</v>
      </c>
      <c r="J89" s="16" t="n">
        <v>0.9771</v>
      </c>
      <c r="K89" s="17">
        <f>IF(OR(L89="",L89=0),"",1000/L89)</f>
        <v/>
      </c>
      <c r="L89" s="18" t="n">
        <v>1.341</v>
      </c>
      <c r="M89" s="14" t="inlineStr">
        <is>
          <t>R1.77</t>
        </is>
      </c>
      <c r="N89" s="19">
        <f>IFERROR(IF(P89&lt;&gt;"",IF(INDEX($P$2:$P$417,MATCH($M89,$A$2:$A$417,0))="","",P89-INDEX($P$2:$P$417,MATCH($M89,$A$2:$A$417,0))),IF(H89&lt;&gt;"",IF(INDEX($H$2:$H$417,MATCH($M89,$A$2:$A$417,0))="","",H89-INDEX($H$2:$H$417,MATCH($M89,$A$2:$A$417,0))),IF(O89&lt;&gt;"",IF(INDEX($O$2:$O$417,MATCH($M89,$A$2:$A$417,0))="","",O89-INDEX($O$2:$O$417,MATCH($M89,$A$2:$A$417,0))),IF(Q89&lt;&gt;"",IF(INDEX($Q$2:$Q$417,MATCH($M89,$A$2:$A$417,0))="","",Q89-INDEX($Q$2:$Q$417,MATCH($M89,$A$2:$A$417,0))),"")))),"")</f>
        <v/>
      </c>
      <c r="O89" s="16" t="n"/>
      <c r="P89" s="16" t="n"/>
      <c r="Q89" s="16" t="n"/>
      <c r="R89" s="16" t="n"/>
      <c r="S89" s="16" t="n"/>
      <c r="T89" s="16" t="n"/>
      <c r="U89" s="16" t="n"/>
      <c r="V89" s="16" t="n"/>
      <c r="W89" s="16" t="n"/>
      <c r="X89" s="16" t="n"/>
      <c r="Y89" s="20" t="n"/>
      <c r="Z89" s="20" t="n"/>
      <c r="AA89" s="16" t="n"/>
      <c r="AB89" s="21" t="inlineStr">
        <is>
          <t>head sweep combo_long_pertag: features=chunk, batch_size=1024, max_epochs=120, patience=10, threshold=per_tag</t>
        </is>
      </c>
      <c r="AC89" s="21" t="n"/>
    </row>
    <row r="90" ht="28" customHeight="1">
      <c r="A90" s="2" t="inlineStr">
        <is>
          <t>R1.89</t>
        </is>
      </c>
      <c r="B90" s="3" t="n">
        <v>46254</v>
      </c>
      <c r="C90" s="2" t="inlineStr">
        <is>
          <t>sensitive</t>
        </is>
      </c>
      <c r="D90" s="2" t="inlineStr">
        <is>
          <t>tl17_base + head[combo_long_pw10]</t>
        </is>
      </c>
      <c r="E90" s="2" t="inlineStr">
        <is>
          <t>holdout20k</t>
        </is>
      </c>
      <c r="F90" s="4" t="inlineStr">
        <is>
          <t>T1</t>
        </is>
      </c>
      <c r="G90" s="5" t="n">
        <v>20000</v>
      </c>
      <c r="H90" s="6" t="n">
        <v>0.9975000000000001</v>
      </c>
      <c r="I90" s="6" t="n">
        <v>0.99325</v>
      </c>
      <c r="J90" s="6" t="n">
        <v>0.9704</v>
      </c>
      <c r="K90" s="7">
        <f>IF(OR(L90="",L90=0),"",1000/L90)</f>
        <v/>
      </c>
      <c r="L90" s="8" t="n">
        <v>1.341</v>
      </c>
      <c r="M90" s="4" t="inlineStr">
        <is>
          <t>R1.77</t>
        </is>
      </c>
      <c r="N90" s="9">
        <f>IFERROR(IF(P90&lt;&gt;"",IF(INDEX($P$2:$P$417,MATCH($M90,$A$2:$A$417,0))="","",P90-INDEX($P$2:$P$417,MATCH($M90,$A$2:$A$417,0))),IF(H90&lt;&gt;"",IF(INDEX($H$2:$H$417,MATCH($M90,$A$2:$A$417,0))="","",H90-INDEX($H$2:$H$417,MATCH($M90,$A$2:$A$417,0))),IF(O90&lt;&gt;"",IF(INDEX($O$2:$O$417,MATCH($M90,$A$2:$A$417,0))="","",O90-INDEX($O$2:$O$417,MATCH($M90,$A$2:$A$417,0))),IF(Q90&lt;&gt;"",IF(INDEX($Q$2:$Q$417,MATCH($M90,$A$2:$A$417,0))="","",Q90-INDEX($Q$2:$Q$417,MATCH($M90,$A$2:$A$417,0))),"")))),"")</f>
        <v/>
      </c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10" t="n"/>
      <c r="Z90" s="10" t="n"/>
      <c r="AA90" s="6" t="n"/>
      <c r="AB90" s="11" t="inlineStr">
        <is>
          <t>head sweep combo_long_pw10: features=chunk, batch_size=1024, max_epochs=120, patience=10, pos_weight=10.0</t>
        </is>
      </c>
      <c r="AC90" s="11" t="n"/>
    </row>
    <row r="91" ht="28" customHeight="1">
      <c r="A91" s="12" t="inlineStr">
        <is>
          <t>R1.90</t>
        </is>
      </c>
      <c r="B91" s="13" t="n">
        <v>46254</v>
      </c>
      <c r="C91" s="12" t="inlineStr">
        <is>
          <t>sensitive</t>
        </is>
      </c>
      <c r="D91" s="12" t="inlineStr">
        <is>
          <t>tl17_base + head[combo_long_top2]</t>
        </is>
      </c>
      <c r="E91" s="12" t="inlineStr">
        <is>
          <t>holdout20k</t>
        </is>
      </c>
      <c r="F91" s="14" t="inlineStr">
        <is>
          <t>T1</t>
        </is>
      </c>
      <c r="G91" s="15" t="n">
        <v>20000</v>
      </c>
      <c r="H91" s="16" t="n">
        <v>0.9977</v>
      </c>
      <c r="I91" s="16" t="n">
        <v>0.99515</v>
      </c>
      <c r="J91" s="16" t="n">
        <v>0.9766</v>
      </c>
      <c r="K91" s="17">
        <f>IF(OR(L91="",L91=0),"",1000/L91)</f>
        <v/>
      </c>
      <c r="L91" s="18" t="n">
        <v>1.341</v>
      </c>
      <c r="M91" s="14" t="inlineStr">
        <is>
          <t>R1.77</t>
        </is>
      </c>
      <c r="N91" s="19">
        <f>IFERROR(IF(P91&lt;&gt;"",IF(INDEX($P$2:$P$417,MATCH($M91,$A$2:$A$417,0))="","",P91-INDEX($P$2:$P$417,MATCH($M91,$A$2:$A$417,0))),IF(H91&lt;&gt;"",IF(INDEX($H$2:$H$417,MATCH($M91,$A$2:$A$417,0))="","",H91-INDEX($H$2:$H$417,MATCH($M91,$A$2:$A$417,0))),IF(O91&lt;&gt;"",IF(INDEX($O$2:$O$417,MATCH($M91,$A$2:$A$417,0))="","",O91-INDEX($O$2:$O$417,MATCH($M91,$A$2:$A$417,0))),IF(Q91&lt;&gt;"",IF(INDEX($Q$2:$Q$417,MATCH($M91,$A$2:$A$417,0))="","",Q91-INDEX($Q$2:$Q$417,MATCH($M91,$A$2:$A$417,0))),"")))),"")</f>
        <v/>
      </c>
      <c r="O91" s="16" t="n"/>
      <c r="P91" s="16" t="n"/>
      <c r="Q91" s="16" t="n"/>
      <c r="R91" s="16" t="n"/>
      <c r="S91" s="16" t="n"/>
      <c r="T91" s="16" t="n"/>
      <c r="U91" s="16" t="n"/>
      <c r="V91" s="16" t="n"/>
      <c r="W91" s="16" t="n"/>
      <c r="X91" s="16" t="n"/>
      <c r="Y91" s="20" t="n"/>
      <c r="Z91" s="20" t="n"/>
      <c r="AA91" s="16" t="n"/>
      <c r="AB91" s="21" t="inlineStr">
        <is>
          <t>head sweep combo_long_top2: features=chunk, batch_size=1024, max_epochs=120, patience=10, fusion=top2</t>
        </is>
      </c>
      <c r="AC91" s="21" t="n"/>
    </row>
    <row r="92" ht="28" customHeight="1">
      <c r="A92" s="2" t="inlineStr">
        <is>
          <t>R1.91</t>
        </is>
      </c>
      <c r="B92" s="3" t="n">
        <v>46254</v>
      </c>
      <c r="C92" s="2" t="inlineStr">
        <is>
          <t>sensitive</t>
        </is>
      </c>
      <c r="D92" s="2" t="inlineStr">
        <is>
          <t>tl17_base + head[dropout0.1]</t>
        </is>
      </c>
      <c r="E92" s="2" t="inlineStr">
        <is>
          <t>holdout20k</t>
        </is>
      </c>
      <c r="F92" s="4" t="inlineStr">
        <is>
          <t>T1</t>
        </is>
      </c>
      <c r="G92" s="5" t="n">
        <v>20000</v>
      </c>
      <c r="H92" s="6" t="n">
        <v>0.9883000000000001</v>
      </c>
      <c r="I92" s="6" t="n">
        <v>0.9812</v>
      </c>
      <c r="J92" s="6" t="n">
        <v>0.94255</v>
      </c>
      <c r="K92" s="7">
        <f>IF(OR(L92="",L92=0),"",1000/L92)</f>
        <v/>
      </c>
      <c r="L92" s="8" t="n">
        <v>1.341</v>
      </c>
      <c r="M92" s="4" t="inlineStr">
        <is>
          <t>R1.77</t>
        </is>
      </c>
      <c r="N92" s="9">
        <f>IFERROR(IF(P92&lt;&gt;"",IF(INDEX($P$2:$P$417,MATCH($M92,$A$2:$A$417,0))="","",P92-INDEX($P$2:$P$417,MATCH($M92,$A$2:$A$417,0))),IF(H92&lt;&gt;"",IF(INDEX($H$2:$H$417,MATCH($M92,$A$2:$A$417,0))="","",H92-INDEX($H$2:$H$417,MATCH($M92,$A$2:$A$417,0))),IF(O92&lt;&gt;"",IF(INDEX($O$2:$O$417,MATCH($M92,$A$2:$A$417,0))="","",O92-INDEX($O$2:$O$417,MATCH($M92,$A$2:$A$417,0))),IF(Q92&lt;&gt;"",IF(INDEX($Q$2:$Q$417,MATCH($M92,$A$2:$A$417,0))="","",Q92-INDEX($Q$2:$Q$417,MATCH($M92,$A$2:$A$417,0))),"")))),"")</f>
        <v/>
      </c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10" t="n"/>
      <c r="Z92" s="10" t="n"/>
      <c r="AA92" s="6" t="n"/>
      <c r="AB92" s="11" t="inlineStr">
        <is>
          <t>head sweep dropout0.1: dropout=0.1</t>
        </is>
      </c>
      <c r="AC92" s="11" t="n"/>
    </row>
    <row r="93" ht="28" customHeight="1">
      <c r="A93" s="12" t="inlineStr">
        <is>
          <t>R1.92</t>
        </is>
      </c>
      <c r="B93" s="13" t="n">
        <v>46254</v>
      </c>
      <c r="C93" s="12" t="inlineStr">
        <is>
          <t>sensitive</t>
        </is>
      </c>
      <c r="D93" s="12" t="inlineStr">
        <is>
          <t>tl17_base + head[epochs120]</t>
        </is>
      </c>
      <c r="E93" s="12" t="inlineStr">
        <is>
          <t>holdout20k</t>
        </is>
      </c>
      <c r="F93" s="14" t="inlineStr">
        <is>
          <t>T1</t>
        </is>
      </c>
      <c r="G93" s="15" t="n">
        <v>20000</v>
      </c>
      <c r="H93" s="16" t="n">
        <v>0.993</v>
      </c>
      <c r="I93" s="16" t="n">
        <v>0.9893</v>
      </c>
      <c r="J93" s="16" t="n">
        <v>0.96545</v>
      </c>
      <c r="K93" s="17">
        <f>IF(OR(L93="",L93=0),"",1000/L93)</f>
        <v/>
      </c>
      <c r="L93" s="18" t="n">
        <v>1.341</v>
      </c>
      <c r="M93" s="14" t="inlineStr">
        <is>
          <t>R1.77</t>
        </is>
      </c>
      <c r="N93" s="19">
        <f>IFERROR(IF(P93&lt;&gt;"",IF(INDEX($P$2:$P$417,MATCH($M93,$A$2:$A$417,0))="","",P93-INDEX($P$2:$P$417,MATCH($M93,$A$2:$A$417,0))),IF(H93&lt;&gt;"",IF(INDEX($H$2:$H$417,MATCH($M93,$A$2:$A$417,0))="","",H93-INDEX($H$2:$H$417,MATCH($M93,$A$2:$A$417,0))),IF(O93&lt;&gt;"",IF(INDEX($O$2:$O$417,MATCH($M93,$A$2:$A$417,0))="","",O93-INDEX($O$2:$O$417,MATCH($M93,$A$2:$A$417,0))),IF(Q93&lt;&gt;"",IF(INDEX($Q$2:$Q$417,MATCH($M93,$A$2:$A$417,0))="","",Q93-INDEX($Q$2:$Q$417,MATCH($M93,$A$2:$A$417,0))),"")))),"")</f>
        <v/>
      </c>
      <c r="O93" s="16" t="n"/>
      <c r="P93" s="16" t="n"/>
      <c r="Q93" s="16" t="n"/>
      <c r="R93" s="16" t="n"/>
      <c r="S93" s="16" t="n"/>
      <c r="T93" s="16" t="n"/>
      <c r="U93" s="16" t="n"/>
      <c r="V93" s="16" t="n"/>
      <c r="W93" s="16" t="n"/>
      <c r="X93" s="16" t="n"/>
      <c r="Y93" s="20" t="n"/>
      <c r="Z93" s="20" t="n"/>
      <c r="AA93" s="16" t="n"/>
      <c r="AB93" s="21" t="inlineStr">
        <is>
          <t>head sweep epochs120: max_epochs=120, patience=10</t>
        </is>
      </c>
      <c r="AC93" s="21" t="n"/>
    </row>
    <row r="94" ht="28" customHeight="1">
      <c r="A94" s="2" t="inlineStr">
        <is>
          <t>R1.93</t>
        </is>
      </c>
      <c r="B94" s="3" t="n">
        <v>46254</v>
      </c>
      <c r="C94" s="2" t="inlineStr">
        <is>
          <t>sensitive</t>
        </is>
      </c>
      <c r="D94" s="2" t="inlineStr">
        <is>
          <t>tl17_base + head[feat_chunk]</t>
        </is>
      </c>
      <c r="E94" s="2" t="inlineStr">
        <is>
          <t>holdout20k</t>
        </is>
      </c>
      <c r="F94" s="4" t="inlineStr">
        <is>
          <t>T1</t>
        </is>
      </c>
      <c r="G94" s="5" t="n">
        <v>20000</v>
      </c>
      <c r="H94" s="6" t="n">
        <v>0.99375</v>
      </c>
      <c r="I94" s="6" t="n">
        <v>0.9885</v>
      </c>
      <c r="J94" s="6" t="n">
        <v>0.9608</v>
      </c>
      <c r="K94" s="7">
        <f>IF(OR(L94="",L94=0),"",1000/L94)</f>
        <v/>
      </c>
      <c r="L94" s="8" t="n">
        <v>1.341</v>
      </c>
      <c r="M94" s="4" t="inlineStr">
        <is>
          <t>R1.77</t>
        </is>
      </c>
      <c r="N94" s="9">
        <f>IFERROR(IF(P94&lt;&gt;"",IF(INDEX($P$2:$P$417,MATCH($M94,$A$2:$A$417,0))="","",P94-INDEX($P$2:$P$417,MATCH($M94,$A$2:$A$417,0))),IF(H94&lt;&gt;"",IF(INDEX($H$2:$H$417,MATCH($M94,$A$2:$A$417,0))="","",H94-INDEX($H$2:$H$417,MATCH($M94,$A$2:$A$417,0))),IF(O94&lt;&gt;"",IF(INDEX($O$2:$O$417,MATCH($M94,$A$2:$A$417,0))="","",O94-INDEX($O$2:$O$417,MATCH($M94,$A$2:$A$417,0))),IF(Q94&lt;&gt;"",IF(INDEX($Q$2:$Q$417,MATCH($M94,$A$2:$A$417,0))="","",Q94-INDEX($Q$2:$Q$417,MATCH($M94,$A$2:$A$417,0))),"")))),"")</f>
        <v/>
      </c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10" t="n"/>
      <c r="Z94" s="10" t="n"/>
      <c r="AA94" s="6" t="n"/>
      <c r="AB94" s="11" t="inlineStr">
        <is>
          <t>head sweep feat_chunk: features=chunk</t>
        </is>
      </c>
      <c r="AC94" s="11" t="n"/>
    </row>
    <row r="95" ht="28" customHeight="1">
      <c r="A95" s="12" t="inlineStr">
        <is>
          <t>R1.94</t>
        </is>
      </c>
      <c r="B95" s="13" t="n">
        <v>46254</v>
      </c>
      <c r="C95" s="12" t="inlineStr">
        <is>
          <t>sensitive</t>
        </is>
      </c>
      <c r="D95" s="12" t="inlineStr">
        <is>
          <t>tl17_base + head[feat_docmean]</t>
        </is>
      </c>
      <c r="E95" s="12" t="inlineStr">
        <is>
          <t>holdout20k</t>
        </is>
      </c>
      <c r="F95" s="14" t="inlineStr">
        <is>
          <t>T1</t>
        </is>
      </c>
      <c r="G95" s="15" t="n">
        <v>20000</v>
      </c>
      <c r="H95" s="16" t="n">
        <v>0.9915</v>
      </c>
      <c r="I95" s="16" t="n">
        <v>0.983</v>
      </c>
      <c r="J95" s="16" t="n">
        <v>0.9452</v>
      </c>
      <c r="K95" s="17">
        <f>IF(OR(L95="",L95=0),"",1000/L95)</f>
        <v/>
      </c>
      <c r="L95" s="18" t="n">
        <v>1.341</v>
      </c>
      <c r="M95" s="14" t="inlineStr">
        <is>
          <t>R1.77</t>
        </is>
      </c>
      <c r="N95" s="19">
        <f>IFERROR(IF(P95&lt;&gt;"",IF(INDEX($P$2:$P$417,MATCH($M95,$A$2:$A$417,0))="","",P95-INDEX($P$2:$P$417,MATCH($M95,$A$2:$A$417,0))),IF(H95&lt;&gt;"",IF(INDEX($H$2:$H$417,MATCH($M95,$A$2:$A$417,0))="","",H95-INDEX($H$2:$H$417,MATCH($M95,$A$2:$A$417,0))),IF(O95&lt;&gt;"",IF(INDEX($O$2:$O$417,MATCH($M95,$A$2:$A$417,0))="","",O95-INDEX($O$2:$O$417,MATCH($M95,$A$2:$A$417,0))),IF(Q95&lt;&gt;"",IF(INDEX($Q$2:$Q$417,MATCH($M95,$A$2:$A$417,0))="","",Q95-INDEX($Q$2:$Q$417,MATCH($M95,$A$2:$A$417,0))),"")))),"")</f>
        <v/>
      </c>
      <c r="O95" s="16" t="n"/>
      <c r="P95" s="16" t="n"/>
      <c r="Q95" s="16" t="n"/>
      <c r="R95" s="16" t="n"/>
      <c r="S95" s="16" t="n"/>
      <c r="T95" s="16" t="n"/>
      <c r="U95" s="16" t="n"/>
      <c r="V95" s="16" t="n"/>
      <c r="W95" s="16" t="n"/>
      <c r="X95" s="16" t="n"/>
      <c r="Y95" s="20" t="n"/>
      <c r="Z95" s="20" t="n"/>
      <c r="AA95" s="16" t="n"/>
      <c r="AB95" s="21" t="inlineStr">
        <is>
          <t>head sweep feat_docmean: features=docmean</t>
        </is>
      </c>
      <c r="AC95" s="21" t="n"/>
    </row>
    <row r="96" ht="28" customHeight="1">
      <c r="A96" s="2" t="inlineStr">
        <is>
          <t>R1.95</t>
        </is>
      </c>
      <c r="B96" s="3" t="n">
        <v>46254</v>
      </c>
      <c r="C96" s="2" t="inlineStr">
        <is>
          <t>sensitive</t>
        </is>
      </c>
      <c r="D96" s="2" t="inlineStr">
        <is>
          <t>tl17_base + head[fusion_mean]</t>
        </is>
      </c>
      <c r="E96" s="2" t="inlineStr">
        <is>
          <t>holdout20k</t>
        </is>
      </c>
      <c r="F96" s="4" t="inlineStr">
        <is>
          <t>T1</t>
        </is>
      </c>
      <c r="G96" s="5" t="n">
        <v>20000</v>
      </c>
      <c r="H96" s="6" t="n">
        <v>0.9882</v>
      </c>
      <c r="I96" s="6" t="n">
        <v>0.9811</v>
      </c>
      <c r="J96" s="6" t="n">
        <v>0.9419</v>
      </c>
      <c r="K96" s="7">
        <f>IF(OR(L96="",L96=0),"",1000/L96)</f>
        <v/>
      </c>
      <c r="L96" s="8" t="n">
        <v>1.341</v>
      </c>
      <c r="M96" s="4" t="inlineStr">
        <is>
          <t>R1.77</t>
        </is>
      </c>
      <c r="N96" s="9">
        <f>IFERROR(IF(P96&lt;&gt;"",IF(INDEX($P$2:$P$417,MATCH($M96,$A$2:$A$417,0))="","",P96-INDEX($P$2:$P$417,MATCH($M96,$A$2:$A$417,0))),IF(H96&lt;&gt;"",IF(INDEX($H$2:$H$417,MATCH($M96,$A$2:$A$417,0))="","",H96-INDEX($H$2:$H$417,MATCH($M96,$A$2:$A$417,0))),IF(O96&lt;&gt;"",IF(INDEX($O$2:$O$417,MATCH($M96,$A$2:$A$417,0))="","",O96-INDEX($O$2:$O$417,MATCH($M96,$A$2:$A$417,0))),IF(Q96&lt;&gt;"",IF(INDEX($Q$2:$Q$417,MATCH($M96,$A$2:$A$417,0))="","",Q96-INDEX($Q$2:$Q$417,MATCH($M96,$A$2:$A$417,0))),"")))),"")</f>
        <v/>
      </c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10" t="n"/>
      <c r="Z96" s="10" t="n"/>
      <c r="AA96" s="6" t="n"/>
      <c r="AB96" s="11" t="inlineStr">
        <is>
          <t>head sweep fusion_mean: fusion=mean</t>
        </is>
      </c>
      <c r="AC96" s="11" t="n"/>
    </row>
    <row r="97" ht="28" customHeight="1">
      <c r="A97" s="12" t="inlineStr">
        <is>
          <t>R1.96</t>
        </is>
      </c>
      <c r="B97" s="13" t="n">
        <v>46254</v>
      </c>
      <c r="C97" s="12" t="inlineStr">
        <is>
          <t>sensitive</t>
        </is>
      </c>
      <c r="D97" s="12" t="inlineStr">
        <is>
          <t>tl17_base + head[fusion_noisyor]</t>
        </is>
      </c>
      <c r="E97" s="12" t="inlineStr">
        <is>
          <t>holdout20k</t>
        </is>
      </c>
      <c r="F97" s="14" t="inlineStr">
        <is>
          <t>T1</t>
        </is>
      </c>
      <c r="G97" s="15" t="n">
        <v>20000</v>
      </c>
      <c r="H97" s="16" t="n">
        <v>0.9883000000000001</v>
      </c>
      <c r="I97" s="16" t="n">
        <v>0.9815</v>
      </c>
      <c r="J97" s="16" t="n">
        <v>0.94495</v>
      </c>
      <c r="K97" s="17">
        <f>IF(OR(L97="",L97=0),"",1000/L97)</f>
        <v/>
      </c>
      <c r="L97" s="18" t="n">
        <v>1.341</v>
      </c>
      <c r="M97" s="14" t="inlineStr">
        <is>
          <t>R1.77</t>
        </is>
      </c>
      <c r="N97" s="19">
        <f>IFERROR(IF(P97&lt;&gt;"",IF(INDEX($P$2:$P$417,MATCH($M97,$A$2:$A$417,0))="","",P97-INDEX($P$2:$P$417,MATCH($M97,$A$2:$A$417,0))),IF(H97&lt;&gt;"",IF(INDEX($H$2:$H$417,MATCH($M97,$A$2:$A$417,0))="","",H97-INDEX($H$2:$H$417,MATCH($M97,$A$2:$A$417,0))),IF(O97&lt;&gt;"",IF(INDEX($O$2:$O$417,MATCH($M97,$A$2:$A$417,0))="","",O97-INDEX($O$2:$O$417,MATCH($M97,$A$2:$A$417,0))),IF(Q97&lt;&gt;"",IF(INDEX($Q$2:$Q$417,MATCH($M97,$A$2:$A$417,0))="","",Q97-INDEX($Q$2:$Q$417,MATCH($M97,$A$2:$A$417,0))),"")))),"")</f>
        <v/>
      </c>
      <c r="O97" s="16" t="n"/>
      <c r="P97" s="16" t="n"/>
      <c r="Q97" s="16" t="n"/>
      <c r="R97" s="16" t="n"/>
      <c r="S97" s="16" t="n"/>
      <c r="T97" s="16" t="n"/>
      <c r="U97" s="16" t="n"/>
      <c r="V97" s="16" t="n"/>
      <c r="W97" s="16" t="n"/>
      <c r="X97" s="16" t="n"/>
      <c r="Y97" s="20" t="n"/>
      <c r="Z97" s="20" t="n"/>
      <c r="AA97" s="16" t="n"/>
      <c r="AB97" s="21" t="inlineStr">
        <is>
          <t>head sweep fusion_noisyor: fusion=noisy_or</t>
        </is>
      </c>
      <c r="AC97" s="21" t="n"/>
    </row>
    <row r="98" ht="28" customHeight="1">
      <c r="A98" s="2" t="inlineStr">
        <is>
          <t>R1.97</t>
        </is>
      </c>
      <c r="B98" s="3" t="n">
        <v>46254</v>
      </c>
      <c r="C98" s="2" t="inlineStr">
        <is>
          <t>sensitive</t>
        </is>
      </c>
      <c r="D98" s="2" t="inlineStr">
        <is>
          <t>tl17_base + head[fusion_top2]</t>
        </is>
      </c>
      <c r="E98" s="2" t="inlineStr">
        <is>
          <t>holdout20k</t>
        </is>
      </c>
      <c r="F98" s="4" t="inlineStr">
        <is>
          <t>T1</t>
        </is>
      </c>
      <c r="G98" s="5" t="n">
        <v>20000</v>
      </c>
      <c r="H98" s="6" t="n">
        <v>0.9886</v>
      </c>
      <c r="I98" s="6" t="n">
        <v>0.98165</v>
      </c>
      <c r="J98" s="6" t="n">
        <v>0.94365</v>
      </c>
      <c r="K98" s="7">
        <f>IF(OR(L98="",L98=0),"",1000/L98)</f>
        <v/>
      </c>
      <c r="L98" s="8" t="n">
        <v>1.341</v>
      </c>
      <c r="M98" s="4" t="inlineStr">
        <is>
          <t>R1.77</t>
        </is>
      </c>
      <c r="N98" s="9">
        <f>IFERROR(IF(P98&lt;&gt;"",IF(INDEX($P$2:$P$417,MATCH($M98,$A$2:$A$417,0))="","",P98-INDEX($P$2:$P$417,MATCH($M98,$A$2:$A$417,0))),IF(H98&lt;&gt;"",IF(INDEX($H$2:$H$417,MATCH($M98,$A$2:$A$417,0))="","",H98-INDEX($H$2:$H$417,MATCH($M98,$A$2:$A$417,0))),IF(O98&lt;&gt;"",IF(INDEX($O$2:$O$417,MATCH($M98,$A$2:$A$417,0))="","",O98-INDEX($O$2:$O$417,MATCH($M98,$A$2:$A$417,0))),IF(Q98&lt;&gt;"",IF(INDEX($Q$2:$Q$417,MATCH($M98,$A$2:$A$417,0))="","",Q98-INDEX($Q$2:$Q$417,MATCH($M98,$A$2:$A$417,0))),"")))),"")</f>
        <v/>
      </c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10" t="n"/>
      <c r="Z98" s="10" t="n"/>
      <c r="AA98" s="6" t="n"/>
      <c r="AB98" s="11" t="inlineStr">
        <is>
          <t>head sweep fusion_top2: fusion=top2</t>
        </is>
      </c>
      <c r="AC98" s="11" t="n"/>
    </row>
    <row r="99" ht="28" customHeight="1">
      <c r="A99" s="12" t="inlineStr">
        <is>
          <t>R1.98</t>
        </is>
      </c>
      <c r="B99" s="13" t="n">
        <v>46254</v>
      </c>
      <c r="C99" s="12" t="inlineStr">
        <is>
          <t>sensitive</t>
        </is>
      </c>
      <c r="D99" s="12" t="inlineStr">
        <is>
          <t>tl17_base + head[hidden1024]</t>
        </is>
      </c>
      <c r="E99" s="12" t="inlineStr">
        <is>
          <t>holdout20k</t>
        </is>
      </c>
      <c r="F99" s="14" t="inlineStr">
        <is>
          <t>T1</t>
        </is>
      </c>
      <c r="G99" s="15" t="n">
        <v>20000</v>
      </c>
      <c r="H99" s="16" t="n">
        <v>0.9903999999999999</v>
      </c>
      <c r="I99" s="16" t="n">
        <v>0.9848999999999999</v>
      </c>
      <c r="J99" s="16" t="n">
        <v>0.9530999999999999</v>
      </c>
      <c r="K99" s="17">
        <f>IF(OR(L99="",L99=0),"",1000/L99)</f>
        <v/>
      </c>
      <c r="L99" s="18" t="n">
        <v>1.402</v>
      </c>
      <c r="M99" s="14" t="inlineStr">
        <is>
          <t>R1.77</t>
        </is>
      </c>
      <c r="N99" s="19">
        <f>IFERROR(IF(P99&lt;&gt;"",IF(INDEX($P$2:$P$417,MATCH($M99,$A$2:$A$417,0))="","",P99-INDEX($P$2:$P$417,MATCH($M99,$A$2:$A$417,0))),IF(H99&lt;&gt;"",IF(INDEX($H$2:$H$417,MATCH($M99,$A$2:$A$417,0))="","",H99-INDEX($H$2:$H$417,MATCH($M99,$A$2:$A$417,0))),IF(O99&lt;&gt;"",IF(INDEX($O$2:$O$417,MATCH($M99,$A$2:$A$417,0))="","",O99-INDEX($O$2:$O$417,MATCH($M99,$A$2:$A$417,0))),IF(Q99&lt;&gt;"",IF(INDEX($Q$2:$Q$417,MATCH($M99,$A$2:$A$417,0))="","",Q99-INDEX($Q$2:$Q$417,MATCH($M99,$A$2:$A$417,0))),"")))),"")</f>
        <v/>
      </c>
      <c r="O99" s="16" t="n"/>
      <c r="P99" s="16" t="n"/>
      <c r="Q99" s="16" t="n"/>
      <c r="R99" s="16" t="n"/>
      <c r="S99" s="16" t="n"/>
      <c r="T99" s="16" t="n"/>
      <c r="U99" s="16" t="n"/>
      <c r="V99" s="16" t="n"/>
      <c r="W99" s="16" t="n"/>
      <c r="X99" s="16" t="n"/>
      <c r="Y99" s="20" t="n"/>
      <c r="Z99" s="20" t="n"/>
      <c r="AA99" s="16" t="n"/>
      <c r="AB99" s="21" t="inlineStr">
        <is>
          <t>head sweep hidden1024: hidden_dim=1024</t>
        </is>
      </c>
      <c r="AC99" s="21" t="n"/>
    </row>
    <row r="100" ht="28" customHeight="1">
      <c r="A100" s="2" t="inlineStr">
        <is>
          <t>R1.99</t>
        </is>
      </c>
      <c r="B100" s="3" t="n">
        <v>46254</v>
      </c>
      <c r="C100" s="2" t="inlineStr">
        <is>
          <t>sensitive</t>
        </is>
      </c>
      <c r="D100" s="2" t="inlineStr">
        <is>
          <t>tl17_base + head[hidden2048]</t>
        </is>
      </c>
      <c r="E100" s="2" t="inlineStr">
        <is>
          <t>holdout20k</t>
        </is>
      </c>
      <c r="F100" s="4" t="inlineStr">
        <is>
          <t>T1</t>
        </is>
      </c>
      <c r="G100" s="5" t="n">
        <v>20000</v>
      </c>
      <c r="H100" s="6" t="n">
        <v>0.9919</v>
      </c>
      <c r="I100" s="6" t="n">
        <v>0.9867</v>
      </c>
      <c r="J100" s="6" t="n">
        <v>0.9598</v>
      </c>
      <c r="K100" s="7">
        <f>IF(OR(L100="",L100=0),"",1000/L100)</f>
        <v/>
      </c>
      <c r="L100" s="8" t="n">
        <v>1.467</v>
      </c>
      <c r="M100" s="4" t="inlineStr">
        <is>
          <t>R1.77</t>
        </is>
      </c>
      <c r="N100" s="9">
        <f>IFERROR(IF(P100&lt;&gt;"",IF(INDEX($P$2:$P$417,MATCH($M100,$A$2:$A$417,0))="","",P100-INDEX($P$2:$P$417,MATCH($M100,$A$2:$A$417,0))),IF(H100&lt;&gt;"",IF(INDEX($H$2:$H$417,MATCH($M100,$A$2:$A$417,0))="","",H100-INDEX($H$2:$H$417,MATCH($M100,$A$2:$A$417,0))),IF(O100&lt;&gt;"",IF(INDEX($O$2:$O$417,MATCH($M100,$A$2:$A$417,0))="","",O100-INDEX($O$2:$O$417,MATCH($M100,$A$2:$A$417,0))),IF(Q100&lt;&gt;"",IF(INDEX($Q$2:$Q$417,MATCH($M100,$A$2:$A$417,0))="","",Q100-INDEX($Q$2:$Q$417,MATCH($M100,$A$2:$A$417,0))),"")))),"")</f>
        <v/>
      </c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10" t="n"/>
      <c r="Z100" s="10" t="n"/>
      <c r="AA100" s="6" t="n"/>
      <c r="AB100" s="11" t="inlineStr">
        <is>
          <t>head sweep hidden2048: hidden_dim=2048</t>
        </is>
      </c>
      <c r="AC100" s="11" t="n"/>
    </row>
    <row r="101" ht="28" customHeight="1">
      <c r="A101" s="12" t="inlineStr">
        <is>
          <t>R1.100</t>
        </is>
      </c>
      <c r="B101" s="13" t="n">
        <v>46254</v>
      </c>
      <c r="C101" s="12" t="inlineStr">
        <is>
          <t>sensitive</t>
        </is>
      </c>
      <c r="D101" s="12" t="inlineStr">
        <is>
          <t>tl17_base + head[hidden256]</t>
        </is>
      </c>
      <c r="E101" s="12" t="inlineStr">
        <is>
          <t>holdout20k</t>
        </is>
      </c>
      <c r="F101" s="14" t="inlineStr">
        <is>
          <t>T1</t>
        </is>
      </c>
      <c r="G101" s="15" t="n">
        <v>20000</v>
      </c>
      <c r="H101" s="16" t="n">
        <v>0.9851</v>
      </c>
      <c r="I101" s="16" t="n">
        <v>0.9762000000000001</v>
      </c>
      <c r="J101" s="16" t="n">
        <v>0.93245</v>
      </c>
      <c r="K101" s="17">
        <f>IF(OR(L101="",L101=0),"",1000/L101)</f>
        <v/>
      </c>
      <c r="L101" s="18" t="n">
        <v>1.372</v>
      </c>
      <c r="M101" s="14" t="inlineStr">
        <is>
          <t>R1.77</t>
        </is>
      </c>
      <c r="N101" s="19">
        <f>IFERROR(IF(P101&lt;&gt;"",IF(INDEX($P$2:$P$417,MATCH($M101,$A$2:$A$417,0))="","",P101-INDEX($P$2:$P$417,MATCH($M101,$A$2:$A$417,0))),IF(H101&lt;&gt;"",IF(INDEX($H$2:$H$417,MATCH($M101,$A$2:$A$417,0))="","",H101-INDEX($H$2:$H$417,MATCH($M101,$A$2:$A$417,0))),IF(O101&lt;&gt;"",IF(INDEX($O$2:$O$417,MATCH($M101,$A$2:$A$417,0))="","",O101-INDEX($O$2:$O$417,MATCH($M101,$A$2:$A$417,0))),IF(Q101&lt;&gt;"",IF(INDEX($Q$2:$Q$417,MATCH($M101,$A$2:$A$417,0))="","",Q101-INDEX($Q$2:$Q$417,MATCH($M101,$A$2:$A$417,0))),"")))),"")</f>
        <v/>
      </c>
      <c r="O101" s="16" t="n"/>
      <c r="P101" s="16" t="n"/>
      <c r="Q101" s="16" t="n"/>
      <c r="R101" s="16" t="n"/>
      <c r="S101" s="16" t="n"/>
      <c r="T101" s="16" t="n"/>
      <c r="U101" s="16" t="n"/>
      <c r="V101" s="16" t="n"/>
      <c r="W101" s="16" t="n"/>
      <c r="X101" s="16" t="n"/>
      <c r="Y101" s="20" t="n"/>
      <c r="Z101" s="20" t="n"/>
      <c r="AA101" s="16" t="n"/>
      <c r="AB101" s="21" t="inlineStr">
        <is>
          <t>head sweep hidden256: hidden_dim=256</t>
        </is>
      </c>
      <c r="AC101" s="21" t="n"/>
    </row>
    <row r="102" ht="28" customHeight="1">
      <c r="A102" s="2" t="inlineStr">
        <is>
          <t>R1.101</t>
        </is>
      </c>
      <c r="B102" s="3" t="n">
        <v>46254</v>
      </c>
      <c r="C102" s="2" t="inlineStr">
        <is>
          <t>sensitive</t>
        </is>
      </c>
      <c r="D102" s="2" t="inlineStr">
        <is>
          <t>tl17_base + head[layers0]</t>
        </is>
      </c>
      <c r="E102" s="2" t="inlineStr">
        <is>
          <t>holdout20k</t>
        </is>
      </c>
      <c r="F102" s="4" t="inlineStr">
        <is>
          <t>T1</t>
        </is>
      </c>
      <c r="G102" s="5" t="n">
        <v>20000</v>
      </c>
      <c r="H102" s="6" t="n">
        <v>0.9452500000000001</v>
      </c>
      <c r="I102" s="6" t="n">
        <v>0.91715</v>
      </c>
      <c r="J102" s="6" t="n">
        <v>0.8472</v>
      </c>
      <c r="K102" s="7">
        <f>IF(OR(L102="",L102=0),"",1000/L102)</f>
        <v/>
      </c>
      <c r="L102" s="8" t="n">
        <v>1.33</v>
      </c>
      <c r="M102" s="4" t="inlineStr">
        <is>
          <t>R1.77</t>
        </is>
      </c>
      <c r="N102" s="9">
        <f>IFERROR(IF(P102&lt;&gt;"",IF(INDEX($P$2:$P$417,MATCH($M102,$A$2:$A$417,0))="","",P102-INDEX($P$2:$P$417,MATCH($M102,$A$2:$A$417,0))),IF(H102&lt;&gt;"",IF(INDEX($H$2:$H$417,MATCH($M102,$A$2:$A$417,0))="","",H102-INDEX($H$2:$H$417,MATCH($M102,$A$2:$A$417,0))),IF(O102&lt;&gt;"",IF(INDEX($O$2:$O$417,MATCH($M102,$A$2:$A$417,0))="","",O102-INDEX($O$2:$O$417,MATCH($M102,$A$2:$A$417,0))),IF(Q102&lt;&gt;"",IF(INDEX($Q$2:$Q$417,MATCH($M102,$A$2:$A$417,0))="","",Q102-INDEX($Q$2:$Q$417,MATCH($M102,$A$2:$A$417,0))),"")))),"")</f>
        <v/>
      </c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10" t="n"/>
      <c r="Z102" s="10" t="n"/>
      <c r="AA102" s="6" t="n"/>
      <c r="AB102" s="11" t="inlineStr">
        <is>
          <t>head sweep layers0: n_layers=0</t>
        </is>
      </c>
      <c r="AC102" s="11" t="n"/>
    </row>
    <row r="103" ht="28" customHeight="1">
      <c r="A103" s="12" t="inlineStr">
        <is>
          <t>R1.102</t>
        </is>
      </c>
      <c r="B103" s="13" t="n">
        <v>46254</v>
      </c>
      <c r="C103" s="12" t="inlineStr">
        <is>
          <t>sensitive</t>
        </is>
      </c>
      <c r="D103" s="12" t="inlineStr">
        <is>
          <t>tl17_base + head[layers2]</t>
        </is>
      </c>
      <c r="E103" s="12" t="inlineStr">
        <is>
          <t>holdout20k</t>
        </is>
      </c>
      <c r="F103" s="14" t="inlineStr">
        <is>
          <t>T1</t>
        </is>
      </c>
      <c r="G103" s="15" t="n">
        <v>20000</v>
      </c>
      <c r="H103" s="16" t="n">
        <v>0.99195</v>
      </c>
      <c r="I103" s="16" t="n">
        <v>0.9863</v>
      </c>
      <c r="J103" s="16" t="n">
        <v>0.9599</v>
      </c>
      <c r="K103" s="17">
        <f>IF(OR(L103="",L103=0),"",1000/L103)</f>
        <v/>
      </c>
      <c r="L103" s="18" t="n">
        <v>1.408</v>
      </c>
      <c r="M103" s="14" t="inlineStr">
        <is>
          <t>R1.77</t>
        </is>
      </c>
      <c r="N103" s="19">
        <f>IFERROR(IF(P103&lt;&gt;"",IF(INDEX($P$2:$P$417,MATCH($M103,$A$2:$A$417,0))="","",P103-INDEX($P$2:$P$417,MATCH($M103,$A$2:$A$417,0))),IF(H103&lt;&gt;"",IF(INDEX($H$2:$H$417,MATCH($M103,$A$2:$A$417,0))="","",H103-INDEX($H$2:$H$417,MATCH($M103,$A$2:$A$417,0))),IF(O103&lt;&gt;"",IF(INDEX($O$2:$O$417,MATCH($M103,$A$2:$A$417,0))="","",O103-INDEX($O$2:$O$417,MATCH($M103,$A$2:$A$417,0))),IF(Q103&lt;&gt;"",IF(INDEX($Q$2:$Q$417,MATCH($M103,$A$2:$A$417,0))="","",Q103-INDEX($Q$2:$Q$417,MATCH($M103,$A$2:$A$417,0))),"")))),"")</f>
        <v/>
      </c>
      <c r="O103" s="16" t="n"/>
      <c r="P103" s="16" t="n"/>
      <c r="Q103" s="16" t="n"/>
      <c r="R103" s="16" t="n"/>
      <c r="S103" s="16" t="n"/>
      <c r="T103" s="16" t="n"/>
      <c r="U103" s="16" t="n"/>
      <c r="V103" s="16" t="n"/>
      <c r="W103" s="16" t="n"/>
      <c r="X103" s="16" t="n"/>
      <c r="Y103" s="20" t="n"/>
      <c r="Z103" s="20" t="n"/>
      <c r="AA103" s="16" t="n"/>
      <c r="AB103" s="21" t="inlineStr">
        <is>
          <t>head sweep layers2: n_layers=2</t>
        </is>
      </c>
      <c r="AC103" s="21" t="n"/>
    </row>
    <row r="104" ht="28" customHeight="1">
      <c r="A104" s="2" t="inlineStr">
        <is>
          <t>R1.103</t>
        </is>
      </c>
      <c r="B104" s="3" t="n">
        <v>46254</v>
      </c>
      <c r="C104" s="2" t="inlineStr">
        <is>
          <t>sensitive</t>
        </is>
      </c>
      <c r="D104" s="2" t="inlineStr">
        <is>
          <t>tl17_base + head[lr3e-3]</t>
        </is>
      </c>
      <c r="E104" s="2" t="inlineStr">
        <is>
          <t>holdout20k</t>
        </is>
      </c>
      <c r="F104" s="4" t="inlineStr">
        <is>
          <t>T1</t>
        </is>
      </c>
      <c r="G104" s="5" t="n">
        <v>20000</v>
      </c>
      <c r="H104" s="6" t="n">
        <v>0.9924500000000001</v>
      </c>
      <c r="I104" s="6" t="n">
        <v>0.9884500000000001</v>
      </c>
      <c r="J104" s="6" t="n">
        <v>0.9634</v>
      </c>
      <c r="K104" s="7">
        <f>IF(OR(L104="",L104=0),"",1000/L104)</f>
        <v/>
      </c>
      <c r="L104" s="8" t="n">
        <v>1.341</v>
      </c>
      <c r="M104" s="4" t="inlineStr">
        <is>
          <t>R1.77</t>
        </is>
      </c>
      <c r="N104" s="9">
        <f>IFERROR(IF(P104&lt;&gt;"",IF(INDEX($P$2:$P$417,MATCH($M104,$A$2:$A$417,0))="","",P104-INDEX($P$2:$P$417,MATCH($M104,$A$2:$A$417,0))),IF(H104&lt;&gt;"",IF(INDEX($H$2:$H$417,MATCH($M104,$A$2:$A$417,0))="","",H104-INDEX($H$2:$H$417,MATCH($M104,$A$2:$A$417,0))),IF(O104&lt;&gt;"",IF(INDEX($O$2:$O$417,MATCH($M104,$A$2:$A$417,0))="","",O104-INDEX($O$2:$O$417,MATCH($M104,$A$2:$A$417,0))),IF(Q104&lt;&gt;"",IF(INDEX($Q$2:$Q$417,MATCH($M104,$A$2:$A$417,0))="","",Q104-INDEX($Q$2:$Q$417,MATCH($M104,$A$2:$A$417,0))),"")))),"")</f>
        <v/>
      </c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10" t="n"/>
      <c r="Z104" s="10" t="n"/>
      <c r="AA104" s="6" t="n"/>
      <c r="AB104" s="11" t="inlineStr">
        <is>
          <t>head sweep lr3e-3: lr=0.003</t>
        </is>
      </c>
      <c r="AC104" s="11" t="n"/>
    </row>
    <row r="105" ht="28" customHeight="1">
      <c r="A105" s="12" t="inlineStr">
        <is>
          <t>R1.104</t>
        </is>
      </c>
      <c r="B105" s="13" t="n">
        <v>46254</v>
      </c>
      <c r="C105" s="12" t="inlineStr">
        <is>
          <t>sensitive</t>
        </is>
      </c>
      <c r="D105" s="12" t="inlineStr">
        <is>
          <t>tl17_base + head[lr3e-4]</t>
        </is>
      </c>
      <c r="E105" s="12" t="inlineStr">
        <is>
          <t>holdout20k</t>
        </is>
      </c>
      <c r="F105" s="14" t="inlineStr">
        <is>
          <t>T1</t>
        </is>
      </c>
      <c r="G105" s="15" t="n">
        <v>20000</v>
      </c>
      <c r="H105" s="16" t="n">
        <v>0.97475</v>
      </c>
      <c r="I105" s="16" t="n">
        <v>0.95825</v>
      </c>
      <c r="J105" s="16" t="n">
        <v>0.8957000000000001</v>
      </c>
      <c r="K105" s="17">
        <f>IF(OR(L105="",L105=0),"",1000/L105)</f>
        <v/>
      </c>
      <c r="L105" s="18" t="n">
        <v>1.341</v>
      </c>
      <c r="M105" s="14" t="inlineStr">
        <is>
          <t>R1.77</t>
        </is>
      </c>
      <c r="N105" s="19">
        <f>IFERROR(IF(P105&lt;&gt;"",IF(INDEX($P$2:$P$417,MATCH($M105,$A$2:$A$417,0))="","",P105-INDEX($P$2:$P$417,MATCH($M105,$A$2:$A$417,0))),IF(H105&lt;&gt;"",IF(INDEX($H$2:$H$417,MATCH($M105,$A$2:$A$417,0))="","",H105-INDEX($H$2:$H$417,MATCH($M105,$A$2:$A$417,0))),IF(O105&lt;&gt;"",IF(INDEX($O$2:$O$417,MATCH($M105,$A$2:$A$417,0))="","",O105-INDEX($O$2:$O$417,MATCH($M105,$A$2:$A$417,0))),IF(Q105&lt;&gt;"",IF(INDEX($Q$2:$Q$417,MATCH($M105,$A$2:$A$417,0))="","",Q105-INDEX($Q$2:$Q$417,MATCH($M105,$A$2:$A$417,0))),"")))),"")</f>
        <v/>
      </c>
      <c r="O105" s="16" t="n"/>
      <c r="P105" s="16" t="n"/>
      <c r="Q105" s="16" t="n"/>
      <c r="R105" s="16" t="n"/>
      <c r="S105" s="16" t="n"/>
      <c r="T105" s="16" t="n"/>
      <c r="U105" s="16" t="n"/>
      <c r="V105" s="16" t="n"/>
      <c r="W105" s="16" t="n"/>
      <c r="X105" s="16" t="n"/>
      <c r="Y105" s="20" t="n"/>
      <c r="Z105" s="20" t="n"/>
      <c r="AA105" s="16" t="n"/>
      <c r="AB105" s="21" t="inlineStr">
        <is>
          <t>head sweep lr3e-4: lr=0.0003</t>
        </is>
      </c>
      <c r="AC105" s="21" t="n"/>
    </row>
    <row r="106" ht="28" customHeight="1">
      <c r="A106" s="2" t="inlineStr">
        <is>
          <t>R1.105</t>
        </is>
      </c>
      <c r="B106" s="3" t="n">
        <v>46254</v>
      </c>
      <c r="C106" s="2" t="inlineStr">
        <is>
          <t>sensitive</t>
        </is>
      </c>
      <c r="D106" s="2" t="inlineStr">
        <is>
          <t>tl17_base + head[mintag100]</t>
        </is>
      </c>
      <c r="E106" s="2" t="inlineStr">
        <is>
          <t>holdout20k</t>
        </is>
      </c>
      <c r="F106" s="4" t="inlineStr">
        <is>
          <t>T1</t>
        </is>
      </c>
      <c r="G106" s="5" t="n">
        <v>20000</v>
      </c>
      <c r="H106" s="6" t="n">
        <v>0.98935</v>
      </c>
      <c r="I106" s="6" t="n">
        <v>0.9819</v>
      </c>
      <c r="J106" s="6" t="n">
        <v>0.9463</v>
      </c>
      <c r="K106" s="7">
        <f>IF(OR(L106="",L106=0),"",1000/L106)</f>
        <v/>
      </c>
      <c r="L106" s="8" t="n">
        <v>1.341</v>
      </c>
      <c r="M106" s="4" t="inlineStr">
        <is>
          <t>R1.77</t>
        </is>
      </c>
      <c r="N106" s="9">
        <f>IFERROR(IF(P106&lt;&gt;"",IF(INDEX($P$2:$P$417,MATCH($M106,$A$2:$A$417,0))="","",P106-INDEX($P$2:$P$417,MATCH($M106,$A$2:$A$417,0))),IF(H106&lt;&gt;"",IF(INDEX($H$2:$H$417,MATCH($M106,$A$2:$A$417,0))="","",H106-INDEX($H$2:$H$417,MATCH($M106,$A$2:$A$417,0))),IF(O106&lt;&gt;"",IF(INDEX($O$2:$O$417,MATCH($M106,$A$2:$A$417,0))="","",O106-INDEX($O$2:$O$417,MATCH($M106,$A$2:$A$417,0))),IF(Q106&lt;&gt;"",IF(INDEX($Q$2:$Q$417,MATCH($M106,$A$2:$A$417,0))="","",Q106-INDEX($Q$2:$Q$417,MATCH($M106,$A$2:$A$417,0))),"")))),"")</f>
        <v/>
      </c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10" t="n"/>
      <c r="Z106" s="10" t="n"/>
      <c r="AA106" s="6" t="n"/>
      <c r="AB106" s="11" t="inlineStr">
        <is>
          <t>head sweep mintag100: min_tag_count=100</t>
        </is>
      </c>
      <c r="AC106" s="11" t="n"/>
    </row>
    <row r="107" ht="28" customHeight="1">
      <c r="A107" s="12" t="inlineStr">
        <is>
          <t>R1.106</t>
        </is>
      </c>
      <c r="B107" s="13" t="n">
        <v>46254</v>
      </c>
      <c r="C107" s="12" t="inlineStr">
        <is>
          <t>sensitive</t>
        </is>
      </c>
      <c r="D107" s="12" t="inlineStr">
        <is>
          <t>tl17_base + head[mintag20]</t>
        </is>
      </c>
      <c r="E107" s="12" t="inlineStr">
        <is>
          <t>holdout20k</t>
        </is>
      </c>
      <c r="F107" s="14" t="inlineStr">
        <is>
          <t>T1</t>
        </is>
      </c>
      <c r="G107" s="15" t="n">
        <v>20000</v>
      </c>
      <c r="H107" s="16" t="n">
        <v>0.98895</v>
      </c>
      <c r="I107" s="16" t="n">
        <v>0.9817</v>
      </c>
      <c r="J107" s="16" t="n">
        <v>0.94485</v>
      </c>
      <c r="K107" s="17">
        <f>IF(OR(L107="",L107=0),"",1000/L107)</f>
        <v/>
      </c>
      <c r="L107" s="18" t="n">
        <v>1.341</v>
      </c>
      <c r="M107" s="14" t="inlineStr">
        <is>
          <t>R1.77</t>
        </is>
      </c>
      <c r="N107" s="19">
        <f>IFERROR(IF(P107&lt;&gt;"",IF(INDEX($P$2:$P$417,MATCH($M107,$A$2:$A$417,0))="","",P107-INDEX($P$2:$P$417,MATCH($M107,$A$2:$A$417,0))),IF(H107&lt;&gt;"",IF(INDEX($H$2:$H$417,MATCH($M107,$A$2:$A$417,0))="","",H107-INDEX($H$2:$H$417,MATCH($M107,$A$2:$A$417,0))),IF(O107&lt;&gt;"",IF(INDEX($O$2:$O$417,MATCH($M107,$A$2:$A$417,0))="","",O107-INDEX($O$2:$O$417,MATCH($M107,$A$2:$A$417,0))),IF(Q107&lt;&gt;"",IF(INDEX($Q$2:$Q$417,MATCH($M107,$A$2:$A$417,0))="","",Q107-INDEX($Q$2:$Q$417,MATCH($M107,$A$2:$A$417,0))),"")))),"")</f>
        <v/>
      </c>
      <c r="O107" s="16" t="n"/>
      <c r="P107" s="16" t="n"/>
      <c r="Q107" s="16" t="n"/>
      <c r="R107" s="16" t="n"/>
      <c r="S107" s="16" t="n"/>
      <c r="T107" s="16" t="n"/>
      <c r="U107" s="16" t="n"/>
      <c r="V107" s="16" t="n"/>
      <c r="W107" s="16" t="n"/>
      <c r="X107" s="16" t="n"/>
      <c r="Y107" s="20" t="n"/>
      <c r="Z107" s="20" t="n"/>
      <c r="AA107" s="16" t="n"/>
      <c r="AB107" s="21" t="inlineStr">
        <is>
          <t>head sweep mintag20: min_tag_count=20</t>
        </is>
      </c>
      <c r="AC107" s="21" t="n"/>
    </row>
    <row r="108" ht="28" customHeight="1">
      <c r="A108" s="2" t="inlineStr">
        <is>
          <t>R1.107</t>
        </is>
      </c>
      <c r="B108" s="3" t="n">
        <v>46254</v>
      </c>
      <c r="C108" s="2" t="inlineStr">
        <is>
          <t>sensitive</t>
        </is>
      </c>
      <c r="D108" s="2" t="inlineStr">
        <is>
          <t>tl17_base + head[posweight10]</t>
        </is>
      </c>
      <c r="E108" s="2" t="inlineStr">
        <is>
          <t>holdout20k</t>
        </is>
      </c>
      <c r="F108" s="4" t="inlineStr">
        <is>
          <t>T1</t>
        </is>
      </c>
      <c r="G108" s="5" t="n">
        <v>20000</v>
      </c>
      <c r="H108" s="6" t="n">
        <v>0.9929</v>
      </c>
      <c r="I108" s="6" t="n">
        <v>0.9847</v>
      </c>
      <c r="J108" s="6" t="n">
        <v>0.9417</v>
      </c>
      <c r="K108" s="7">
        <f>IF(OR(L108="",L108=0),"",1000/L108)</f>
        <v/>
      </c>
      <c r="L108" s="8" t="n">
        <v>1.341</v>
      </c>
      <c r="M108" s="4" t="inlineStr">
        <is>
          <t>R1.77</t>
        </is>
      </c>
      <c r="N108" s="9">
        <f>IFERROR(IF(P108&lt;&gt;"",IF(INDEX($P$2:$P$417,MATCH($M108,$A$2:$A$417,0))="","",P108-INDEX($P$2:$P$417,MATCH($M108,$A$2:$A$417,0))),IF(H108&lt;&gt;"",IF(INDEX($H$2:$H$417,MATCH($M108,$A$2:$A$417,0))="","",H108-INDEX($H$2:$H$417,MATCH($M108,$A$2:$A$417,0))),IF(O108&lt;&gt;"",IF(INDEX($O$2:$O$417,MATCH($M108,$A$2:$A$417,0))="","",O108-INDEX($O$2:$O$417,MATCH($M108,$A$2:$A$417,0))),IF(Q108&lt;&gt;"",IF(INDEX($Q$2:$Q$417,MATCH($M108,$A$2:$A$417,0))="","",Q108-INDEX($Q$2:$Q$417,MATCH($M108,$A$2:$A$417,0))),"")))),"")</f>
        <v/>
      </c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10" t="n"/>
      <c r="Z108" s="10" t="n"/>
      <c r="AA108" s="6" t="n"/>
      <c r="AB108" s="11" t="inlineStr">
        <is>
          <t>head sweep posweight10: pos_weight=10.0</t>
        </is>
      </c>
      <c r="AC108" s="11" t="n"/>
    </row>
    <row r="109" ht="28" customHeight="1">
      <c r="A109" s="12" t="inlineStr">
        <is>
          <t>R1.108</t>
        </is>
      </c>
      <c r="B109" s="13" t="n">
        <v>46254</v>
      </c>
      <c r="C109" s="12" t="inlineStr">
        <is>
          <t>sensitive</t>
        </is>
      </c>
      <c r="D109" s="12" t="inlineStr">
        <is>
          <t>tl17_base + head[posweight50]</t>
        </is>
      </c>
      <c r="E109" s="12" t="inlineStr">
        <is>
          <t>holdout20k</t>
        </is>
      </c>
      <c r="F109" s="14" t="inlineStr">
        <is>
          <t>T1</t>
        </is>
      </c>
      <c r="G109" s="15" t="n">
        <v>20000</v>
      </c>
      <c r="H109" s="16" t="n">
        <v>0.98575</v>
      </c>
      <c r="I109" s="16" t="n">
        <v>0.97395</v>
      </c>
      <c r="J109" s="16" t="n">
        <v>0.91575</v>
      </c>
      <c r="K109" s="17">
        <f>IF(OR(L109="",L109=0),"",1000/L109)</f>
        <v/>
      </c>
      <c r="L109" s="18" t="n">
        <v>1.341</v>
      </c>
      <c r="M109" s="14" t="inlineStr">
        <is>
          <t>R1.77</t>
        </is>
      </c>
      <c r="N109" s="19">
        <f>IFERROR(IF(P109&lt;&gt;"",IF(INDEX($P$2:$P$417,MATCH($M109,$A$2:$A$417,0))="","",P109-INDEX($P$2:$P$417,MATCH($M109,$A$2:$A$417,0))),IF(H109&lt;&gt;"",IF(INDEX($H$2:$H$417,MATCH($M109,$A$2:$A$417,0))="","",H109-INDEX($H$2:$H$417,MATCH($M109,$A$2:$A$417,0))),IF(O109&lt;&gt;"",IF(INDEX($O$2:$O$417,MATCH($M109,$A$2:$A$417,0))="","",O109-INDEX($O$2:$O$417,MATCH($M109,$A$2:$A$417,0))),IF(Q109&lt;&gt;"",IF(INDEX($Q$2:$Q$417,MATCH($M109,$A$2:$A$417,0))="","",Q109-INDEX($Q$2:$Q$417,MATCH($M109,$A$2:$A$417,0))),"")))),"")</f>
        <v/>
      </c>
      <c r="O109" s="16" t="n"/>
      <c r="P109" s="16" t="n"/>
      <c r="Q109" s="16" t="n"/>
      <c r="R109" s="16" t="n"/>
      <c r="S109" s="16" t="n"/>
      <c r="T109" s="16" t="n"/>
      <c r="U109" s="16" t="n"/>
      <c r="V109" s="16" t="n"/>
      <c r="W109" s="16" t="n"/>
      <c r="X109" s="16" t="n"/>
      <c r="Y109" s="20" t="n"/>
      <c r="Z109" s="20" t="n"/>
      <c r="AA109" s="16" t="n"/>
      <c r="AB109" s="21" t="inlineStr">
        <is>
          <t>head sweep posweight50: pos_weight=50.0</t>
        </is>
      </c>
      <c r="AC109" s="21" t="n"/>
    </row>
    <row r="110" ht="28" customHeight="1">
      <c r="A110" s="2" t="inlineStr">
        <is>
          <t>R1.109</t>
        </is>
      </c>
      <c r="B110" s="3" t="n">
        <v>46254</v>
      </c>
      <c r="C110" s="2" t="inlineStr">
        <is>
          <t>sensitive</t>
        </is>
      </c>
      <c r="D110" s="2" t="inlineStr">
        <is>
          <t>tl17_base + head[read40k]</t>
        </is>
      </c>
      <c r="E110" s="2" t="inlineStr">
        <is>
          <t>holdout20k</t>
        </is>
      </c>
      <c r="F110" s="4" t="inlineStr">
        <is>
          <t>T1</t>
        </is>
      </c>
      <c r="G110" s="5" t="n">
        <v>40000</v>
      </c>
      <c r="H110" s="6" t="n">
        <v>0.9886</v>
      </c>
      <c r="I110" s="6" t="n">
        <v>0.9814000000000001</v>
      </c>
      <c r="J110" s="6" t="n">
        <v>0.9424</v>
      </c>
      <c r="K110" s="7">
        <f>IF(OR(L110="",L110=0),"",1000/L110)</f>
        <v/>
      </c>
      <c r="L110" s="8" t="n">
        <v>1.933</v>
      </c>
      <c r="M110" s="4" t="inlineStr">
        <is>
          <t>R1.77</t>
        </is>
      </c>
      <c r="N110" s="9">
        <f>IFERROR(IF(P110&lt;&gt;"",IF(INDEX($P$2:$P$417,MATCH($M110,$A$2:$A$417,0))="","",P110-INDEX($P$2:$P$417,MATCH($M110,$A$2:$A$417,0))),IF(H110&lt;&gt;"",IF(INDEX($H$2:$H$417,MATCH($M110,$A$2:$A$417,0))="","",H110-INDEX($H$2:$H$417,MATCH($M110,$A$2:$A$417,0))),IF(O110&lt;&gt;"",IF(INDEX($O$2:$O$417,MATCH($M110,$A$2:$A$417,0))="","",O110-INDEX($O$2:$O$417,MATCH($M110,$A$2:$A$417,0))),IF(Q110&lt;&gt;"",IF(INDEX($Q$2:$Q$417,MATCH($M110,$A$2:$A$417,0))="","",Q110-INDEX($Q$2:$Q$417,MATCH($M110,$A$2:$A$417,0))),"")))),"")</f>
        <v/>
      </c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10" t="n"/>
      <c r="Z110" s="10" t="n"/>
      <c r="AA110" s="6" t="n"/>
      <c r="AB110" s="11" t="inlineStr">
        <is>
          <t>head sweep read40k: max_chunks=20</t>
        </is>
      </c>
      <c r="AC110" s="11" t="n"/>
    </row>
    <row r="111" ht="28" customHeight="1">
      <c r="A111" s="12" t="inlineStr">
        <is>
          <t>R1.110</t>
        </is>
      </c>
      <c r="B111" s="13" t="n">
        <v>46254</v>
      </c>
      <c r="C111" s="12" t="inlineStr">
        <is>
          <t>sensitive</t>
        </is>
      </c>
      <c r="D111" s="12" t="inlineStr">
        <is>
          <t>tl17_base + head[thresh_pertag]</t>
        </is>
      </c>
      <c r="E111" s="12" t="inlineStr">
        <is>
          <t>holdout20k</t>
        </is>
      </c>
      <c r="F111" s="14" t="inlineStr">
        <is>
          <t>T1</t>
        </is>
      </c>
      <c r="G111" s="15" t="n">
        <v>20000</v>
      </c>
      <c r="H111" s="16" t="n">
        <v>0.9881</v>
      </c>
      <c r="I111" s="16" t="n">
        <v>0.97875</v>
      </c>
      <c r="J111" s="16" t="n">
        <v>0.9369</v>
      </c>
      <c r="K111" s="17">
        <f>IF(OR(L111="",L111=0),"",1000/L111)</f>
        <v/>
      </c>
      <c r="L111" s="18" t="n">
        <v>1.341</v>
      </c>
      <c r="M111" s="14" t="inlineStr">
        <is>
          <t>R1.77</t>
        </is>
      </c>
      <c r="N111" s="19">
        <f>IFERROR(IF(P111&lt;&gt;"",IF(INDEX($P$2:$P$417,MATCH($M111,$A$2:$A$417,0))="","",P111-INDEX($P$2:$P$417,MATCH($M111,$A$2:$A$417,0))),IF(H111&lt;&gt;"",IF(INDEX($H$2:$H$417,MATCH($M111,$A$2:$A$417,0))="","",H111-INDEX($H$2:$H$417,MATCH($M111,$A$2:$A$417,0))),IF(O111&lt;&gt;"",IF(INDEX($O$2:$O$417,MATCH($M111,$A$2:$A$417,0))="","",O111-INDEX($O$2:$O$417,MATCH($M111,$A$2:$A$417,0))),IF(Q111&lt;&gt;"",IF(INDEX($Q$2:$Q$417,MATCH($M111,$A$2:$A$417,0))="","",Q111-INDEX($Q$2:$Q$417,MATCH($M111,$A$2:$A$417,0))),"")))),"")</f>
        <v/>
      </c>
      <c r="O111" s="16" t="n"/>
      <c r="P111" s="16" t="n"/>
      <c r="Q111" s="16" t="n"/>
      <c r="R111" s="16" t="n"/>
      <c r="S111" s="16" t="n"/>
      <c r="T111" s="16" t="n"/>
      <c r="U111" s="16" t="n"/>
      <c r="V111" s="16" t="n"/>
      <c r="W111" s="16" t="n"/>
      <c r="X111" s="16" t="n"/>
      <c r="Y111" s="20" t="n"/>
      <c r="Z111" s="20" t="n"/>
      <c r="AA111" s="16" t="n"/>
      <c r="AB111" s="21" t="inlineStr">
        <is>
          <t>head sweep thresh_pertag: threshold=per_tag</t>
        </is>
      </c>
      <c r="AC111" s="21" t="n"/>
    </row>
    <row r="112" ht="28" customHeight="1">
      <c r="A112" s="2" t="inlineStr">
        <is>
          <t>R1.111</t>
        </is>
      </c>
      <c r="B112" s="3" t="n">
        <v>46254</v>
      </c>
      <c r="C112" s="2" t="inlineStr">
        <is>
          <t>sensitive</t>
        </is>
      </c>
      <c r="D112" s="2" t="inlineStr">
        <is>
          <t>tl17_base + head[wd1e-4]</t>
        </is>
      </c>
      <c r="E112" s="2" t="inlineStr">
        <is>
          <t>holdout20k</t>
        </is>
      </c>
      <c r="F112" s="4" t="inlineStr">
        <is>
          <t>T1</t>
        </is>
      </c>
      <c r="G112" s="5" t="n">
        <v>20000</v>
      </c>
      <c r="H112" s="6" t="n">
        <v>0.9886</v>
      </c>
      <c r="I112" s="6" t="n">
        <v>0.9814000000000001</v>
      </c>
      <c r="J112" s="6" t="n">
        <v>0.94415</v>
      </c>
      <c r="K112" s="7">
        <f>IF(OR(L112="",L112=0),"",1000/L112)</f>
        <v/>
      </c>
      <c r="L112" s="8" t="n">
        <v>1.341</v>
      </c>
      <c r="M112" s="4" t="inlineStr">
        <is>
          <t>R1.77</t>
        </is>
      </c>
      <c r="N112" s="9">
        <f>IFERROR(IF(P112&lt;&gt;"",IF(INDEX($P$2:$P$417,MATCH($M112,$A$2:$A$417,0))="","",P112-INDEX($P$2:$P$417,MATCH($M112,$A$2:$A$417,0))),IF(H112&lt;&gt;"",IF(INDEX($H$2:$H$417,MATCH($M112,$A$2:$A$417,0))="","",H112-INDEX($H$2:$H$417,MATCH($M112,$A$2:$A$417,0))),IF(O112&lt;&gt;"",IF(INDEX($O$2:$O$417,MATCH($M112,$A$2:$A$417,0))="","",O112-INDEX($O$2:$O$417,MATCH($M112,$A$2:$A$417,0))),IF(Q112&lt;&gt;"",IF(INDEX($Q$2:$Q$417,MATCH($M112,$A$2:$A$417,0))="","",Q112-INDEX($Q$2:$Q$417,MATCH($M112,$A$2:$A$417,0))),"")))),"")</f>
        <v/>
      </c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10" t="n"/>
      <c r="Z112" s="10" t="n"/>
      <c r="AA112" s="6" t="n"/>
      <c r="AB112" s="11" t="inlineStr">
        <is>
          <t>head sweep wd1e-4: weight_decay=0.0001</t>
        </is>
      </c>
      <c r="AC112" s="11" t="n"/>
    </row>
    <row r="113" ht="28" customHeight="1">
      <c r="A113" s="12" t="inlineStr">
        <is>
          <t>R1.112</t>
        </is>
      </c>
      <c r="B113" s="13" t="n">
        <v>46254</v>
      </c>
      <c r="C113" s="12" t="inlineStr">
        <is>
          <t>sensitive</t>
        </is>
      </c>
      <c r="D113" s="12" t="inlineStr">
        <is>
          <t>tl17_vocab + head[combo_long_tlvocab]</t>
        </is>
      </c>
      <c r="E113" s="12" t="inlineStr">
        <is>
          <t>holdout20k</t>
        </is>
      </c>
      <c r="F113" s="14" t="inlineStr">
        <is>
          <t>T1</t>
        </is>
      </c>
      <c r="G113" s="15" t="n">
        <v>20000</v>
      </c>
      <c r="H113" s="16" t="n">
        <v>0.99725</v>
      </c>
      <c r="I113" s="16" t="n">
        <v>0.9939</v>
      </c>
      <c r="J113" s="16" t="n">
        <v>0.97665</v>
      </c>
      <c r="K113" s="17">
        <f>IF(OR(L113="",L113=0),"",1000/L113)</f>
        <v/>
      </c>
      <c r="L113" s="18" t="n">
        <v>1.376</v>
      </c>
      <c r="M113" s="14" t="inlineStr">
        <is>
          <t>tl17_vocab + head[baseline]</t>
        </is>
      </c>
      <c r="N113" s="19">
        <f>IFERROR(IF(P113&lt;&gt;"",IF(INDEX($P$2:$P$417,MATCH($M113,$A$2:$A$417,0))="","",P113-INDEX($P$2:$P$417,MATCH($M113,$A$2:$A$417,0))),IF(H113&lt;&gt;"",IF(INDEX($H$2:$H$417,MATCH($M113,$A$2:$A$417,0))="","",H113-INDEX($H$2:$H$417,MATCH($M113,$A$2:$A$417,0))),IF(O113&lt;&gt;"",IF(INDEX($O$2:$O$417,MATCH($M113,$A$2:$A$417,0))="","",O113-INDEX($O$2:$O$417,MATCH($M113,$A$2:$A$417,0))),IF(Q113&lt;&gt;"",IF(INDEX($Q$2:$Q$417,MATCH($M113,$A$2:$A$417,0))="","",Q113-INDEX($Q$2:$Q$417,MATCH($M113,$A$2:$A$417,0))),"")))),"")</f>
        <v/>
      </c>
      <c r="O113" s="16" t="n"/>
      <c r="P113" s="16" t="n"/>
      <c r="Q113" s="16" t="n"/>
      <c r="R113" s="16" t="n"/>
      <c r="S113" s="16" t="n"/>
      <c r="T113" s="16" t="n"/>
      <c r="U113" s="16" t="n"/>
      <c r="V113" s="16" t="n"/>
      <c r="W113" s="16" t="n"/>
      <c r="X113" s="16" t="n"/>
      <c r="Y113" s="20" t="n"/>
      <c r="Z113" s="20" t="n"/>
      <c r="AA113" s="16" t="n"/>
      <c r="AB113" s="21" t="inlineStr">
        <is>
          <t>head sweep combo_long_tlvocab: features=chunk, batch_size=1024, max_epochs=120, patience=10, encoder=tl17_vocab</t>
        </is>
      </c>
      <c r="AC113" s="21" t="n"/>
    </row>
    <row r="114" ht="28" customHeight="1">
      <c r="A114" s="2" t="inlineStr">
        <is>
          <t>R1.113</t>
        </is>
      </c>
      <c r="B114" s="3" t="n">
        <v>46254</v>
      </c>
      <c r="C114" s="2" t="inlineStr">
        <is>
          <t>sensitive</t>
        </is>
      </c>
      <c r="D114" s="2" t="inlineStr">
        <is>
          <t>tl17_vocab + head[enc_tl17_vocab]</t>
        </is>
      </c>
      <c r="E114" s="2" t="inlineStr">
        <is>
          <t>holdout20k</t>
        </is>
      </c>
      <c r="F114" s="4" t="inlineStr">
        <is>
          <t>T1</t>
        </is>
      </c>
      <c r="G114" s="5" t="n">
        <v>20000</v>
      </c>
      <c r="H114" s="6" t="n">
        <v>0.9885</v>
      </c>
      <c r="I114" s="6" t="n">
        <v>0.98045</v>
      </c>
      <c r="J114" s="6" t="n">
        <v>0.94345</v>
      </c>
      <c r="K114" s="7">
        <f>IF(OR(L114="",L114=0),"",1000/L114)</f>
        <v/>
      </c>
      <c r="L114" s="8" t="n">
        <v>1.376</v>
      </c>
      <c r="M114" s="4" t="inlineStr">
        <is>
          <t>tl17_vocab + head[baseline]</t>
        </is>
      </c>
      <c r="N114" s="9">
        <f>IFERROR(IF(P114&lt;&gt;"",IF(INDEX($P$2:$P$417,MATCH($M114,$A$2:$A$417,0))="","",P114-INDEX($P$2:$P$417,MATCH($M114,$A$2:$A$417,0))),IF(H114&lt;&gt;"",IF(INDEX($H$2:$H$417,MATCH($M114,$A$2:$A$417,0))="","",H114-INDEX($H$2:$H$417,MATCH($M114,$A$2:$A$417,0))),IF(O114&lt;&gt;"",IF(INDEX($O$2:$O$417,MATCH($M114,$A$2:$A$417,0))="","",O114-INDEX($O$2:$O$417,MATCH($M114,$A$2:$A$417,0))),IF(Q114&lt;&gt;"",IF(INDEX($Q$2:$Q$417,MATCH($M114,$A$2:$A$417,0))="","",Q114-INDEX($Q$2:$Q$417,MATCH($M114,$A$2:$A$417,0))),"")))),"")</f>
        <v/>
      </c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10" t="n"/>
      <c r="Z114" s="10" t="n"/>
      <c r="AA114" s="6" t="n"/>
      <c r="AB114" s="11" t="inlineStr">
        <is>
          <t>head sweep enc_tl17_vocab: encoder=tl17_vocab</t>
        </is>
      </c>
      <c r="AC114" s="11" t="n"/>
    </row>
    <row r="115" ht="28" customHeight="1">
      <c r="A115" s="12" t="inlineStr">
        <is>
          <t>R1.114</t>
        </is>
      </c>
      <c r="B115" s="13" t="n">
        <v>46254</v>
      </c>
      <c r="C115" s="12" t="inlineStr">
        <is>
          <t>sensitive</t>
        </is>
      </c>
      <c r="D115" s="12" t="inlineStr">
        <is>
          <t>champion + head[combo_long_champ]</t>
        </is>
      </c>
      <c r="E115" s="12" t="inlineStr">
        <is>
          <t>val100k</t>
        </is>
      </c>
      <c r="F115" s="14" t="inlineStr">
        <is>
          <t>T1</t>
        </is>
      </c>
      <c r="G115" s="15" t="n">
        <v>20000</v>
      </c>
      <c r="H115" s="16" t="n">
        <v>0.9947</v>
      </c>
      <c r="I115" s="16" t="n">
        <v>0.99</v>
      </c>
      <c r="J115" s="16" t="n">
        <v>0.9694</v>
      </c>
      <c r="K115" s="17">
        <f>IF(OR(L115="",L115=0),"",1000/L115)</f>
        <v/>
      </c>
      <c r="L115" s="18" t="n">
        <v>1.492</v>
      </c>
      <c r="M115" s="14" t="inlineStr">
        <is>
          <t>champion + head[baseline]</t>
        </is>
      </c>
      <c r="N115" s="19">
        <f>IFERROR(IF(P115&lt;&gt;"",IF(INDEX($P$2:$P$417,MATCH($M115,$A$2:$A$417,0))="","",P115-INDEX($P$2:$P$417,MATCH($M115,$A$2:$A$417,0))),IF(H115&lt;&gt;"",IF(INDEX($H$2:$H$417,MATCH($M115,$A$2:$A$417,0))="","",H115-INDEX($H$2:$H$417,MATCH($M115,$A$2:$A$417,0))),IF(O115&lt;&gt;"",IF(INDEX($O$2:$O$417,MATCH($M115,$A$2:$A$417,0))="","",O115-INDEX($O$2:$O$417,MATCH($M115,$A$2:$A$417,0))),IF(Q115&lt;&gt;"",IF(INDEX($Q$2:$Q$417,MATCH($M115,$A$2:$A$417,0))="","",Q115-INDEX($Q$2:$Q$417,MATCH($M115,$A$2:$A$417,0))),"")))),"")</f>
        <v/>
      </c>
      <c r="O115" s="16" t="n"/>
      <c r="P115" s="16" t="n"/>
      <c r="Q115" s="16" t="n"/>
      <c r="R115" s="16" t="n"/>
      <c r="S115" s="16" t="n"/>
      <c r="T115" s="16" t="n"/>
      <c r="U115" s="16" t="n"/>
      <c r="V115" s="16" t="n"/>
      <c r="W115" s="16" t="n"/>
      <c r="X115" s="16" t="n"/>
      <c r="Y115" s="20" t="n"/>
      <c r="Z115" s="20" t="n"/>
      <c r="AA115" s="16" t="n"/>
      <c r="AB115" s="21" t="inlineStr">
        <is>
          <t>head sweep combo_long_champ: features=chunk, batch_size=1024, max_epochs=120, patience=10, encoder=champion</t>
        </is>
      </c>
      <c r="AC115" s="21" t="n"/>
    </row>
    <row r="116" ht="28" customHeight="1">
      <c r="A116" s="2" t="inlineStr">
        <is>
          <t>R1.115</t>
        </is>
      </c>
      <c r="B116" s="3" t="n">
        <v>46254</v>
      </c>
      <c r="C116" s="2" t="inlineStr">
        <is>
          <t>sensitive</t>
        </is>
      </c>
      <c r="D116" s="2" t="inlineStr">
        <is>
          <t>champion + head[enc_champion]</t>
        </is>
      </c>
      <c r="E116" s="2" t="inlineStr">
        <is>
          <t>val100k</t>
        </is>
      </c>
      <c r="F116" s="4" t="inlineStr">
        <is>
          <t>T1</t>
        </is>
      </c>
      <c r="G116" s="5" t="n">
        <v>20000</v>
      </c>
      <c r="H116" s="6" t="n">
        <v>0.9713000000000001</v>
      </c>
      <c r="I116" s="6" t="n">
        <v>0.9506</v>
      </c>
      <c r="J116" s="6" t="n">
        <v>0.8823</v>
      </c>
      <c r="K116" s="7">
        <f>IF(OR(L116="",L116=0),"",1000/L116)</f>
        <v/>
      </c>
      <c r="L116" s="8" t="n">
        <v>1.492</v>
      </c>
      <c r="M116" s="4" t="inlineStr">
        <is>
          <t>champion + head[baseline]</t>
        </is>
      </c>
      <c r="N116" s="9">
        <f>IFERROR(IF(P116&lt;&gt;"",IF(INDEX($P$2:$P$417,MATCH($M116,$A$2:$A$417,0))="","",P116-INDEX($P$2:$P$417,MATCH($M116,$A$2:$A$417,0))),IF(H116&lt;&gt;"",IF(INDEX($H$2:$H$417,MATCH($M116,$A$2:$A$417,0))="","",H116-INDEX($H$2:$H$417,MATCH($M116,$A$2:$A$417,0))),IF(O116&lt;&gt;"",IF(INDEX($O$2:$O$417,MATCH($M116,$A$2:$A$417,0))="","",O116-INDEX($O$2:$O$417,MATCH($M116,$A$2:$A$417,0))),IF(Q116&lt;&gt;"",IF(INDEX($Q$2:$Q$417,MATCH($M116,$A$2:$A$417,0))="","",Q116-INDEX($Q$2:$Q$417,MATCH($M116,$A$2:$A$417,0))),"")))),"")</f>
        <v/>
      </c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10" t="n"/>
      <c r="Z116" s="10" t="n"/>
      <c r="AA116" s="6" t="n"/>
      <c r="AB116" s="11" t="inlineStr">
        <is>
          <t>head sweep enc_champion: encoder=champion</t>
        </is>
      </c>
      <c r="AC116" s="11" t="n"/>
    </row>
    <row r="117" ht="28" customHeight="1">
      <c r="A117" s="12" t="inlineStr">
        <is>
          <t>R1.116</t>
        </is>
      </c>
      <c r="B117" s="13" t="n">
        <v>46254</v>
      </c>
      <c r="C117" s="12" t="inlineStr">
        <is>
          <t>sensitive</t>
        </is>
      </c>
      <c r="D117" s="12" t="inlineStr">
        <is>
          <t>d17_base + head[enc_d17_base]</t>
        </is>
      </c>
      <c r="E117" s="12" t="inlineStr">
        <is>
          <t>val100k</t>
        </is>
      </c>
      <c r="F117" s="14" t="inlineStr">
        <is>
          <t>T1</t>
        </is>
      </c>
      <c r="G117" s="15" t="n">
        <v>20000</v>
      </c>
      <c r="H117" s="16" t="n">
        <v>0.9789</v>
      </c>
      <c r="I117" s="16" t="n">
        <v>0.9628</v>
      </c>
      <c r="J117" s="16" t="n">
        <v>0.8995</v>
      </c>
      <c r="K117" s="17">
        <f>IF(OR(L117="",L117=0),"",1000/L117)</f>
        <v/>
      </c>
      <c r="L117" s="18" t="n">
        <v>1.66</v>
      </c>
      <c r="M117" s="14" t="inlineStr">
        <is>
          <t>d17_base + head[baseline]</t>
        </is>
      </c>
      <c r="N117" s="19">
        <f>IFERROR(IF(P117&lt;&gt;"",IF(INDEX($P$2:$P$417,MATCH($M117,$A$2:$A$417,0))="","",P117-INDEX($P$2:$P$417,MATCH($M117,$A$2:$A$417,0))),IF(H117&lt;&gt;"",IF(INDEX($H$2:$H$417,MATCH($M117,$A$2:$A$417,0))="","",H117-INDEX($H$2:$H$417,MATCH($M117,$A$2:$A$417,0))),IF(O117&lt;&gt;"",IF(INDEX($O$2:$O$417,MATCH($M117,$A$2:$A$417,0))="","",O117-INDEX($O$2:$O$417,MATCH($M117,$A$2:$A$417,0))),IF(Q117&lt;&gt;"",IF(INDEX($Q$2:$Q$417,MATCH($M117,$A$2:$A$417,0))="","",Q117-INDEX($Q$2:$Q$417,MATCH($M117,$A$2:$A$417,0))),"")))),"")</f>
        <v/>
      </c>
      <c r="O117" s="16" t="n"/>
      <c r="P117" s="16" t="n"/>
      <c r="Q117" s="16" t="n"/>
      <c r="R117" s="16" t="n"/>
      <c r="S117" s="16" t="n"/>
      <c r="T117" s="16" t="n"/>
      <c r="U117" s="16" t="n"/>
      <c r="V117" s="16" t="n"/>
      <c r="W117" s="16" t="n"/>
      <c r="X117" s="16" t="n"/>
      <c r="Y117" s="20" t="n"/>
      <c r="Z117" s="20" t="n"/>
      <c r="AA117" s="16" t="n"/>
      <c r="AB117" s="21" t="inlineStr">
        <is>
          <t>head sweep enc_d17_base: encoder=d17_base</t>
        </is>
      </c>
      <c r="AC117" s="21" t="n"/>
    </row>
    <row r="118" ht="28" customHeight="1">
      <c r="A118" s="2" t="inlineStr">
        <is>
          <t>R1.117</t>
        </is>
      </c>
      <c r="B118" s="3" t="n">
        <v>46254</v>
      </c>
      <c r="C118" s="2" t="inlineStr">
        <is>
          <t>sensitive</t>
        </is>
      </c>
      <c r="D118" s="2" t="inlineStr">
        <is>
          <t>d68_base + head[combo_long_d68]</t>
        </is>
      </c>
      <c r="E118" s="2" t="inlineStr">
        <is>
          <t>val100k</t>
        </is>
      </c>
      <c r="F118" s="4" t="inlineStr">
        <is>
          <t>T1</t>
        </is>
      </c>
      <c r="G118" s="5" t="n">
        <v>20000</v>
      </c>
      <c r="H118" s="6" t="n">
        <v>0.995</v>
      </c>
      <c r="I118" s="6" t="n">
        <v>0.9913</v>
      </c>
      <c r="J118" s="6" t="n">
        <v>0.9673</v>
      </c>
      <c r="K118" s="7">
        <f>IF(OR(L118="",L118=0),"",1000/L118)</f>
        <v/>
      </c>
      <c r="L118" s="8" t="n">
        <v>1.91</v>
      </c>
      <c r="M118" s="4" t="inlineStr">
        <is>
          <t>d68_base + head[baseline]</t>
        </is>
      </c>
      <c r="N118" s="9">
        <f>IFERROR(IF(P118&lt;&gt;"",IF(INDEX($P$2:$P$417,MATCH($M118,$A$2:$A$417,0))="","",P118-INDEX($P$2:$P$417,MATCH($M118,$A$2:$A$417,0))),IF(H118&lt;&gt;"",IF(INDEX($H$2:$H$417,MATCH($M118,$A$2:$A$417,0))="","",H118-INDEX($H$2:$H$417,MATCH($M118,$A$2:$A$417,0))),IF(O118&lt;&gt;"",IF(INDEX($O$2:$O$417,MATCH($M118,$A$2:$A$417,0))="","",O118-INDEX($O$2:$O$417,MATCH($M118,$A$2:$A$417,0))),IF(Q118&lt;&gt;"",IF(INDEX($Q$2:$Q$417,MATCH($M118,$A$2:$A$417,0))="","",Q118-INDEX($Q$2:$Q$417,MATCH($M118,$A$2:$A$417,0))),"")))),"")</f>
        <v/>
      </c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10" t="n"/>
      <c r="Z118" s="10" t="n"/>
      <c r="AA118" s="6" t="n"/>
      <c r="AB118" s="11" t="inlineStr">
        <is>
          <t>head sweep combo_long_d68: features=chunk, batch_size=1024, max_epochs=120, patience=10, encoder=d68_base</t>
        </is>
      </c>
      <c r="AC118" s="11" t="n"/>
    </row>
    <row r="119" ht="28" customHeight="1">
      <c r="A119" s="12" t="inlineStr">
        <is>
          <t>R1.118</t>
        </is>
      </c>
      <c r="B119" s="13" t="n">
        <v>46254</v>
      </c>
      <c r="C119" s="12" t="inlineStr">
        <is>
          <t>sensitive</t>
        </is>
      </c>
      <c r="D119" s="12" t="inlineStr">
        <is>
          <t>d68_base + head[enc_d68]</t>
        </is>
      </c>
      <c r="E119" s="12" t="inlineStr">
        <is>
          <t>val100k</t>
        </is>
      </c>
      <c r="F119" s="14" t="inlineStr">
        <is>
          <t>T1</t>
        </is>
      </c>
      <c r="G119" s="15" t="n">
        <v>20000</v>
      </c>
      <c r="H119" s="16" t="n">
        <v>0.9794</v>
      </c>
      <c r="I119" s="16" t="n">
        <v>0.9665</v>
      </c>
      <c r="J119" s="16" t="n">
        <v>0.9151</v>
      </c>
      <c r="K119" s="17">
        <f>IF(OR(L119="",L119=0),"",1000/L119)</f>
        <v/>
      </c>
      <c r="L119" s="18" t="n">
        <v>1.91</v>
      </c>
      <c r="M119" s="14" t="inlineStr">
        <is>
          <t>d68_base + head[baseline]</t>
        </is>
      </c>
      <c r="N119" s="19">
        <f>IFERROR(IF(P119&lt;&gt;"",IF(INDEX($P$2:$P$417,MATCH($M119,$A$2:$A$417,0))="","",P119-INDEX($P$2:$P$417,MATCH($M119,$A$2:$A$417,0))),IF(H119&lt;&gt;"",IF(INDEX($H$2:$H$417,MATCH($M119,$A$2:$A$417,0))="","",H119-INDEX($H$2:$H$417,MATCH($M119,$A$2:$A$417,0))),IF(O119&lt;&gt;"",IF(INDEX($O$2:$O$417,MATCH($M119,$A$2:$A$417,0))="","",O119-INDEX($O$2:$O$417,MATCH($M119,$A$2:$A$417,0))),IF(Q119&lt;&gt;"",IF(INDEX($Q$2:$Q$417,MATCH($M119,$A$2:$A$417,0))="","",Q119-INDEX($Q$2:$Q$417,MATCH($M119,$A$2:$A$417,0))),"")))),"")</f>
        <v/>
      </c>
      <c r="O119" s="16" t="n"/>
      <c r="P119" s="16" t="n"/>
      <c r="Q119" s="16" t="n"/>
      <c r="R119" s="16" t="n"/>
      <c r="S119" s="16" t="n"/>
      <c r="T119" s="16" t="n"/>
      <c r="U119" s="16" t="n"/>
      <c r="V119" s="16" t="n"/>
      <c r="W119" s="16" t="n"/>
      <c r="X119" s="16" t="n"/>
      <c r="Y119" s="20" t="n"/>
      <c r="Z119" s="20" t="n"/>
      <c r="AA119" s="16" t="n"/>
      <c r="AB119" s="21" t="inlineStr">
        <is>
          <t>head sweep enc_d68: encoder=d68_base</t>
        </is>
      </c>
      <c r="AC119" s="21" t="n"/>
    </row>
    <row r="120" ht="28" customHeight="1">
      <c r="A120" s="2" t="inlineStr">
        <is>
          <t>R1.119</t>
        </is>
      </c>
      <c r="B120" s="3" t="n">
        <v>46254</v>
      </c>
      <c r="C120" s="2" t="inlineStr">
        <is>
          <t>sensitive</t>
        </is>
      </c>
      <c r="D120" s="2" t="inlineStr">
        <is>
          <t>tl17_base + head[baseline]</t>
        </is>
      </c>
      <c r="E120" s="2" t="inlineStr">
        <is>
          <t>val100k</t>
        </is>
      </c>
      <c r="F120" s="4" t="inlineStr">
        <is>
          <t>T1</t>
        </is>
      </c>
      <c r="G120" s="5" t="n">
        <v>20000</v>
      </c>
      <c r="H120" s="6" t="n">
        <v>0.9873</v>
      </c>
      <c r="I120" s="6" t="n">
        <v>0.9810000000000001</v>
      </c>
      <c r="J120" s="6" t="n">
        <v>0.9457</v>
      </c>
      <c r="K120" s="7">
        <f>IF(OR(L120="",L120=0),"",1000/L120)</f>
        <v/>
      </c>
      <c r="L120" s="8" t="n">
        <v>1.341</v>
      </c>
      <c r="M120" s="4" t="n"/>
      <c r="N120" s="9">
        <f>IFERROR(IF(P120&lt;&gt;"",IF(INDEX($P$2:$P$417,MATCH($M120,$A$2:$A$417,0))="","",P120-INDEX($P$2:$P$417,MATCH($M120,$A$2:$A$417,0))),IF(H120&lt;&gt;"",IF(INDEX($H$2:$H$417,MATCH($M120,$A$2:$A$417,0))="","",H120-INDEX($H$2:$H$417,MATCH($M120,$A$2:$A$417,0))),IF(O120&lt;&gt;"",IF(INDEX($O$2:$O$417,MATCH($M120,$A$2:$A$417,0))="","",O120-INDEX($O$2:$O$417,MATCH($M120,$A$2:$A$417,0))),IF(Q120&lt;&gt;"",IF(INDEX($Q$2:$Q$417,MATCH($M120,$A$2:$A$417,0))="","",Q120-INDEX($Q$2:$Q$417,MATCH($M120,$A$2:$A$417,0))),"")))),"")</f>
        <v/>
      </c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10" t="n"/>
      <c r="Z120" s="10" t="n"/>
      <c r="AA120" s="6" t="n"/>
      <c r="AB120" s="11" t="inlineStr">
        <is>
          <t>head sweep baseline: baseline config</t>
        </is>
      </c>
      <c r="AC120" s="11" t="n"/>
    </row>
    <row r="121" ht="28" customHeight="1">
      <c r="A121" s="12" t="inlineStr">
        <is>
          <t>R1.120</t>
        </is>
      </c>
      <c r="B121" s="13" t="n">
        <v>46254</v>
      </c>
      <c r="C121" s="12" t="inlineStr">
        <is>
          <t>sensitive</t>
        </is>
      </c>
      <c r="D121" s="12" t="inlineStr">
        <is>
          <t>tl17_base + head[batch1024]</t>
        </is>
      </c>
      <c r="E121" s="12" t="inlineStr">
        <is>
          <t>val100k</t>
        </is>
      </c>
      <c r="F121" s="14" t="inlineStr">
        <is>
          <t>T1</t>
        </is>
      </c>
      <c r="G121" s="15" t="n">
        <v>20000</v>
      </c>
      <c r="H121" s="16" t="n">
        <v>0.9928</v>
      </c>
      <c r="I121" s="16" t="n">
        <v>0.9886</v>
      </c>
      <c r="J121" s="16" t="n">
        <v>0.9665</v>
      </c>
      <c r="K121" s="17">
        <f>IF(OR(L121="",L121=0),"",1000/L121)</f>
        <v/>
      </c>
      <c r="L121" s="18" t="n">
        <v>1.341</v>
      </c>
      <c r="M121" s="14" t="inlineStr">
        <is>
          <t>R1.119</t>
        </is>
      </c>
      <c r="N121" s="19">
        <f>IFERROR(IF(P121&lt;&gt;"",IF(INDEX($P$2:$P$417,MATCH($M121,$A$2:$A$417,0))="","",P121-INDEX($P$2:$P$417,MATCH($M121,$A$2:$A$417,0))),IF(H121&lt;&gt;"",IF(INDEX($H$2:$H$417,MATCH($M121,$A$2:$A$417,0))="","",H121-INDEX($H$2:$H$417,MATCH($M121,$A$2:$A$417,0))),IF(O121&lt;&gt;"",IF(INDEX($O$2:$O$417,MATCH($M121,$A$2:$A$417,0))="","",O121-INDEX($O$2:$O$417,MATCH($M121,$A$2:$A$417,0))),IF(Q121&lt;&gt;"",IF(INDEX($Q$2:$Q$417,MATCH($M121,$A$2:$A$417,0))="","",Q121-INDEX($Q$2:$Q$417,MATCH($M121,$A$2:$A$417,0))),"")))),"")</f>
        <v/>
      </c>
      <c r="O121" s="16" t="n"/>
      <c r="P121" s="16" t="n"/>
      <c r="Q121" s="16" t="n"/>
      <c r="R121" s="16" t="n"/>
      <c r="S121" s="16" t="n"/>
      <c r="T121" s="16" t="n"/>
      <c r="U121" s="16" t="n"/>
      <c r="V121" s="16" t="n"/>
      <c r="W121" s="16" t="n"/>
      <c r="X121" s="16" t="n"/>
      <c r="Y121" s="20" t="n"/>
      <c r="Z121" s="20" t="n"/>
      <c r="AA121" s="16" t="n"/>
      <c r="AB121" s="21" t="inlineStr">
        <is>
          <t>head sweep batch1024: batch_size=1024</t>
        </is>
      </c>
      <c r="AC121" s="21" t="n"/>
    </row>
    <row r="122" ht="28" customHeight="1">
      <c r="A122" s="2" t="inlineStr">
        <is>
          <t>R1.121</t>
        </is>
      </c>
      <c r="B122" s="3" t="n">
        <v>46254</v>
      </c>
      <c r="C122" s="2" t="inlineStr">
        <is>
          <t>sensitive</t>
        </is>
      </c>
      <c r="D122" s="2" t="inlineStr">
        <is>
          <t>tl17_base + head[batch16384]</t>
        </is>
      </c>
      <c r="E122" s="2" t="inlineStr">
        <is>
          <t>val100k</t>
        </is>
      </c>
      <c r="F122" s="4" t="inlineStr">
        <is>
          <t>T1</t>
        </is>
      </c>
      <c r="G122" s="5" t="n">
        <v>20000</v>
      </c>
      <c r="H122" s="6" t="n">
        <v>0.966</v>
      </c>
      <c r="I122" s="6" t="n">
        <v>0.9458</v>
      </c>
      <c r="J122" s="6" t="n">
        <v>0.8760999999999999</v>
      </c>
      <c r="K122" s="7">
        <f>IF(OR(L122="",L122=0),"",1000/L122)</f>
        <v/>
      </c>
      <c r="L122" s="8" t="n">
        <v>1.341</v>
      </c>
      <c r="M122" s="4" t="inlineStr">
        <is>
          <t>R1.119</t>
        </is>
      </c>
      <c r="N122" s="9">
        <f>IFERROR(IF(P122&lt;&gt;"",IF(INDEX($P$2:$P$417,MATCH($M122,$A$2:$A$417,0))="","",P122-INDEX($P$2:$P$417,MATCH($M122,$A$2:$A$417,0))),IF(H122&lt;&gt;"",IF(INDEX($H$2:$H$417,MATCH($M122,$A$2:$A$417,0))="","",H122-INDEX($H$2:$H$417,MATCH($M122,$A$2:$A$417,0))),IF(O122&lt;&gt;"",IF(INDEX($O$2:$O$417,MATCH($M122,$A$2:$A$417,0))="","",O122-INDEX($O$2:$O$417,MATCH($M122,$A$2:$A$417,0))),IF(Q122&lt;&gt;"",IF(INDEX($Q$2:$Q$417,MATCH($M122,$A$2:$A$417,0))="","",Q122-INDEX($Q$2:$Q$417,MATCH($M122,$A$2:$A$417,0))),"")))),"")</f>
        <v/>
      </c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10" t="n"/>
      <c r="Z122" s="10" t="n"/>
      <c r="AA122" s="6" t="n"/>
      <c r="AB122" s="11" t="inlineStr">
        <is>
          <t>head sweep batch16384: batch_size=16384</t>
        </is>
      </c>
      <c r="AC122" s="11" t="n"/>
    </row>
    <row r="123" ht="28" customHeight="1">
      <c r="A123" s="12" t="inlineStr">
        <is>
          <t>R1.122</t>
        </is>
      </c>
      <c r="B123" s="13" t="n">
        <v>46254</v>
      </c>
      <c r="C123" s="12" t="inlineStr">
        <is>
          <t>sensitive</t>
        </is>
      </c>
      <c r="D123" s="12" t="inlineStr">
        <is>
          <t>tl17_base + head[chunk1000x20]</t>
        </is>
      </c>
      <c r="E123" s="12" t="inlineStr">
        <is>
          <t>val100k</t>
        </is>
      </c>
      <c r="F123" s="14" t="inlineStr">
        <is>
          <t>T1</t>
        </is>
      </c>
      <c r="G123" s="15" t="n">
        <v>20000</v>
      </c>
      <c r="H123" s="16" t="n">
        <v>0.9878</v>
      </c>
      <c r="I123" s="16" t="n">
        <v>0.9806</v>
      </c>
      <c r="J123" s="16" t="n">
        <v>0.9387</v>
      </c>
      <c r="K123" s="17">
        <f>IF(OR(L123="",L123=0),"",1000/L123)</f>
        <v/>
      </c>
      <c r="L123" s="18" t="n">
        <v>1.402</v>
      </c>
      <c r="M123" s="14" t="inlineStr">
        <is>
          <t>R1.119</t>
        </is>
      </c>
      <c r="N123" s="19">
        <f>IFERROR(IF(P123&lt;&gt;"",IF(INDEX($P$2:$P$417,MATCH($M123,$A$2:$A$417,0))="","",P123-INDEX($P$2:$P$417,MATCH($M123,$A$2:$A$417,0))),IF(H123&lt;&gt;"",IF(INDEX($H$2:$H$417,MATCH($M123,$A$2:$A$417,0))="","",H123-INDEX($H$2:$H$417,MATCH($M123,$A$2:$A$417,0))),IF(O123&lt;&gt;"",IF(INDEX($O$2:$O$417,MATCH($M123,$A$2:$A$417,0))="","",O123-INDEX($O$2:$O$417,MATCH($M123,$A$2:$A$417,0))),IF(Q123&lt;&gt;"",IF(INDEX($Q$2:$Q$417,MATCH($M123,$A$2:$A$417,0))="","",Q123-INDEX($Q$2:$Q$417,MATCH($M123,$A$2:$A$417,0))),"")))),"")</f>
        <v/>
      </c>
      <c r="O123" s="16" t="n"/>
      <c r="P123" s="16" t="n"/>
      <c r="Q123" s="16" t="n"/>
      <c r="R123" s="16" t="n"/>
      <c r="S123" s="16" t="n"/>
      <c r="T123" s="16" t="n"/>
      <c r="U123" s="16" t="n"/>
      <c r="V123" s="16" t="n"/>
      <c r="W123" s="16" t="n"/>
      <c r="X123" s="16" t="n"/>
      <c r="Y123" s="20" t="n"/>
      <c r="Z123" s="20" t="n"/>
      <c r="AA123" s="16" t="n"/>
      <c r="AB123" s="21" t="inlineStr">
        <is>
          <t>head sweep chunk1000x20: chunk_chars=1000, max_chunks=20</t>
        </is>
      </c>
      <c r="AC123" s="21" t="n"/>
    </row>
    <row r="124" ht="28" customHeight="1">
      <c r="A124" s="2" t="inlineStr">
        <is>
          <t>R1.123</t>
        </is>
      </c>
      <c r="B124" s="3" t="n">
        <v>46254</v>
      </c>
      <c r="C124" s="2" t="inlineStr">
        <is>
          <t>sensitive</t>
        </is>
      </c>
      <c r="D124" s="2" t="inlineStr">
        <is>
          <t>tl17_base + head[chunk4000x5]</t>
        </is>
      </c>
      <c r="E124" s="2" t="inlineStr">
        <is>
          <t>val100k</t>
        </is>
      </c>
      <c r="F124" s="4" t="inlineStr">
        <is>
          <t>T1</t>
        </is>
      </c>
      <c r="G124" s="5" t="n">
        <v>20000</v>
      </c>
      <c r="H124" s="6" t="n">
        <v>0.9882</v>
      </c>
      <c r="I124" s="6" t="n">
        <v>0.9810000000000001</v>
      </c>
      <c r="J124" s="6" t="n">
        <v>0.945</v>
      </c>
      <c r="K124" s="7">
        <f>IF(OR(L124="",L124=0),"",1000/L124)</f>
        <v/>
      </c>
      <c r="L124" s="8" t="n">
        <v>1.114</v>
      </c>
      <c r="M124" s="4" t="inlineStr">
        <is>
          <t>R1.119</t>
        </is>
      </c>
      <c r="N124" s="9">
        <f>IFERROR(IF(P124&lt;&gt;"",IF(INDEX($P$2:$P$417,MATCH($M124,$A$2:$A$417,0))="","",P124-INDEX($P$2:$P$417,MATCH($M124,$A$2:$A$417,0))),IF(H124&lt;&gt;"",IF(INDEX($H$2:$H$417,MATCH($M124,$A$2:$A$417,0))="","",H124-INDEX($H$2:$H$417,MATCH($M124,$A$2:$A$417,0))),IF(O124&lt;&gt;"",IF(INDEX($O$2:$O$417,MATCH($M124,$A$2:$A$417,0))="","",O124-INDEX($O$2:$O$417,MATCH($M124,$A$2:$A$417,0))),IF(Q124&lt;&gt;"",IF(INDEX($Q$2:$Q$417,MATCH($M124,$A$2:$A$417,0))="","",Q124-INDEX($Q$2:$Q$417,MATCH($M124,$A$2:$A$417,0))),"")))),"")</f>
        <v/>
      </c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10" t="n"/>
      <c r="Z124" s="10" t="n"/>
      <c r="AA124" s="6" t="n"/>
      <c r="AB124" s="11" t="inlineStr">
        <is>
          <t>head sweep chunk4000x5: chunk_chars=4000, max_chunks=5</t>
        </is>
      </c>
      <c r="AC124" s="11" t="n"/>
    </row>
    <row r="125" ht="28" customHeight="1">
      <c r="A125" s="12" t="inlineStr">
        <is>
          <t>R1.124</t>
        </is>
      </c>
      <c r="B125" s="13" t="n">
        <v>46254</v>
      </c>
      <c r="C125" s="12" t="inlineStr">
        <is>
          <t>sensitive</t>
        </is>
      </c>
      <c r="D125" s="12" t="inlineStr">
        <is>
          <t>tl17_base + head[combo_chunk_b1k]</t>
        </is>
      </c>
      <c r="E125" s="12" t="inlineStr">
        <is>
          <t>val100k</t>
        </is>
      </c>
      <c r="F125" s="14" t="inlineStr">
        <is>
          <t>T1</t>
        </is>
      </c>
      <c r="G125" s="15" t="n">
        <v>20000</v>
      </c>
      <c r="H125" s="16" t="n">
        <v>0.9955000000000002</v>
      </c>
      <c r="I125" s="16" t="n">
        <v>0.9929</v>
      </c>
      <c r="J125" s="16" t="n">
        <v>0.9752</v>
      </c>
      <c r="K125" s="17">
        <f>IF(OR(L125="",L125=0),"",1000/L125)</f>
        <v/>
      </c>
      <c r="L125" s="18" t="n">
        <v>1.341</v>
      </c>
      <c r="M125" s="14" t="inlineStr">
        <is>
          <t>R1.119</t>
        </is>
      </c>
      <c r="N125" s="19">
        <f>IFERROR(IF(P125&lt;&gt;"",IF(INDEX($P$2:$P$417,MATCH($M125,$A$2:$A$417,0))="","",P125-INDEX($P$2:$P$417,MATCH($M125,$A$2:$A$417,0))),IF(H125&lt;&gt;"",IF(INDEX($H$2:$H$417,MATCH($M125,$A$2:$A$417,0))="","",H125-INDEX($H$2:$H$417,MATCH($M125,$A$2:$A$417,0))),IF(O125&lt;&gt;"",IF(INDEX($O$2:$O$417,MATCH($M125,$A$2:$A$417,0))="","",O125-INDEX($O$2:$O$417,MATCH($M125,$A$2:$A$417,0))),IF(Q125&lt;&gt;"",IF(INDEX($Q$2:$Q$417,MATCH($M125,$A$2:$A$417,0))="","",Q125-INDEX($Q$2:$Q$417,MATCH($M125,$A$2:$A$417,0))),"")))),"")</f>
        <v/>
      </c>
      <c r="O125" s="16" t="n"/>
      <c r="P125" s="16" t="n"/>
      <c r="Q125" s="16" t="n"/>
      <c r="R125" s="16" t="n"/>
      <c r="S125" s="16" t="n"/>
      <c r="T125" s="16" t="n"/>
      <c r="U125" s="16" t="n"/>
      <c r="V125" s="16" t="n"/>
      <c r="W125" s="16" t="n"/>
      <c r="X125" s="16" t="n"/>
      <c r="Y125" s="20" t="n"/>
      <c r="Z125" s="20" t="n"/>
      <c r="AA125" s="16" t="n"/>
      <c r="AB125" s="21" t="inlineStr">
        <is>
          <t>head sweep combo_chunk_b1k: features=chunk, batch_size=1024</t>
        </is>
      </c>
      <c r="AC125" s="21" t="n"/>
    </row>
    <row r="126" ht="28" customHeight="1">
      <c r="A126" s="2" t="inlineStr">
        <is>
          <t>R1.125</t>
        </is>
      </c>
      <c r="B126" s="3" t="n">
        <v>46254</v>
      </c>
      <c r="C126" s="2" t="inlineStr">
        <is>
          <t>sensitive</t>
        </is>
      </c>
      <c r="D126" s="2" t="inlineStr">
        <is>
          <t>tl17_base + head[combo_long]</t>
        </is>
      </c>
      <c r="E126" s="2" t="inlineStr">
        <is>
          <t>val100k</t>
        </is>
      </c>
      <c r="F126" s="4" t="inlineStr">
        <is>
          <t>T1</t>
        </is>
      </c>
      <c r="G126" s="5" t="n">
        <v>20000</v>
      </c>
      <c r="H126" s="6" t="n">
        <v>0.9959</v>
      </c>
      <c r="I126" s="6" t="n">
        <v>0.9929</v>
      </c>
      <c r="J126" s="6" t="n">
        <v>0.9773999999999999</v>
      </c>
      <c r="K126" s="7">
        <f>IF(OR(L126="",L126=0),"",1000/L126)</f>
        <v/>
      </c>
      <c r="L126" s="8" t="n">
        <v>1.341</v>
      </c>
      <c r="M126" s="4" t="inlineStr">
        <is>
          <t>R1.119</t>
        </is>
      </c>
      <c r="N126" s="9">
        <f>IFERROR(IF(P126&lt;&gt;"",IF(INDEX($P$2:$P$417,MATCH($M126,$A$2:$A$417,0))="","",P126-INDEX($P$2:$P$417,MATCH($M126,$A$2:$A$417,0))),IF(H126&lt;&gt;"",IF(INDEX($H$2:$H$417,MATCH($M126,$A$2:$A$417,0))="","",H126-INDEX($H$2:$H$417,MATCH($M126,$A$2:$A$417,0))),IF(O126&lt;&gt;"",IF(INDEX($O$2:$O$417,MATCH($M126,$A$2:$A$417,0))="","",O126-INDEX($O$2:$O$417,MATCH($M126,$A$2:$A$417,0))),IF(Q126&lt;&gt;"",IF(INDEX($Q$2:$Q$417,MATCH($M126,$A$2:$A$417,0))="","",Q126-INDEX($Q$2:$Q$417,MATCH($M126,$A$2:$A$417,0))),"")))),"")</f>
        <v/>
      </c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10" t="n"/>
      <c r="Z126" s="10" t="n"/>
      <c r="AA126" s="6" t="n"/>
      <c r="AB126" s="11" t="inlineStr">
        <is>
          <t>head sweep combo_long: features=chunk, batch_size=1024, max_epochs=120, patience=10</t>
        </is>
      </c>
      <c r="AC126" s="11" t="n"/>
    </row>
    <row r="127" ht="28" customHeight="1">
      <c r="A127" s="12" t="inlineStr">
        <is>
          <t>R1.126</t>
        </is>
      </c>
      <c r="B127" s="13" t="n">
        <v>46254</v>
      </c>
      <c r="C127" s="12" t="inlineStr">
        <is>
          <t>sensitive</t>
        </is>
      </c>
      <c r="D127" s="12" t="inlineStr">
        <is>
          <t>tl17_base + head[combo_long_h2048]</t>
        </is>
      </c>
      <c r="E127" s="12" t="inlineStr">
        <is>
          <t>val100k</t>
        </is>
      </c>
      <c r="F127" s="14" t="inlineStr">
        <is>
          <t>T1</t>
        </is>
      </c>
      <c r="G127" s="15" t="n">
        <v>20000</v>
      </c>
      <c r="H127" s="16" t="n">
        <v>0.9964</v>
      </c>
      <c r="I127" s="16" t="n">
        <v>0.9937</v>
      </c>
      <c r="J127" s="16" t="n">
        <v>0.9787</v>
      </c>
      <c r="K127" s="17">
        <f>IF(OR(L127="",L127=0),"",1000/L127)</f>
        <v/>
      </c>
      <c r="L127" s="18" t="n">
        <v>1.467</v>
      </c>
      <c r="M127" s="14" t="inlineStr">
        <is>
          <t>R1.119</t>
        </is>
      </c>
      <c r="N127" s="19">
        <f>IFERROR(IF(P127&lt;&gt;"",IF(INDEX($P$2:$P$417,MATCH($M127,$A$2:$A$417,0))="","",P127-INDEX($P$2:$P$417,MATCH($M127,$A$2:$A$417,0))),IF(H127&lt;&gt;"",IF(INDEX($H$2:$H$417,MATCH($M127,$A$2:$A$417,0))="","",H127-INDEX($H$2:$H$417,MATCH($M127,$A$2:$A$417,0))),IF(O127&lt;&gt;"",IF(INDEX($O$2:$O$417,MATCH($M127,$A$2:$A$417,0))="","",O127-INDEX($O$2:$O$417,MATCH($M127,$A$2:$A$417,0))),IF(Q127&lt;&gt;"",IF(INDEX($Q$2:$Q$417,MATCH($M127,$A$2:$A$417,0))="","",Q127-INDEX($Q$2:$Q$417,MATCH($M127,$A$2:$A$417,0))),"")))),"")</f>
        <v/>
      </c>
      <c r="O127" s="16" t="n"/>
      <c r="P127" s="16" t="n"/>
      <c r="Q127" s="16" t="n"/>
      <c r="R127" s="16" t="n"/>
      <c r="S127" s="16" t="n"/>
      <c r="T127" s="16" t="n"/>
      <c r="U127" s="16" t="n"/>
      <c r="V127" s="16" t="n"/>
      <c r="W127" s="16" t="n"/>
      <c r="X127" s="16" t="n"/>
      <c r="Y127" s="20" t="n"/>
      <c r="Z127" s="20" t="n"/>
      <c r="AA127" s="16" t="n"/>
      <c r="AB127" s="21" t="inlineStr">
        <is>
          <t>head sweep combo_long_h2048: features=chunk, batch_size=1024, max_epochs=120, patience=10, hidden_dim=2048</t>
        </is>
      </c>
      <c r="AC127" s="21" t="n"/>
    </row>
    <row r="128" ht="28" customHeight="1">
      <c r="A128" s="2" t="inlineStr">
        <is>
          <t>R1.127</t>
        </is>
      </c>
      <c r="B128" s="3" t="n">
        <v>46254</v>
      </c>
      <c r="C128" s="2" t="inlineStr">
        <is>
          <t>sensitive</t>
        </is>
      </c>
      <c r="D128" s="2" t="inlineStr">
        <is>
          <t>tl17_base + head[combo_long_l2]</t>
        </is>
      </c>
      <c r="E128" s="2" t="inlineStr">
        <is>
          <t>val100k</t>
        </is>
      </c>
      <c r="F128" s="4" t="inlineStr">
        <is>
          <t>T1</t>
        </is>
      </c>
      <c r="G128" s="5" t="n">
        <v>20000</v>
      </c>
      <c r="H128" s="6" t="n">
        <v>0.9958</v>
      </c>
      <c r="I128" s="6" t="n">
        <v>0.9939</v>
      </c>
      <c r="J128" s="6" t="n">
        <v>0.9768</v>
      </c>
      <c r="K128" s="7">
        <f>IF(OR(L128="",L128=0),"",1000/L128)</f>
        <v/>
      </c>
      <c r="L128" s="8" t="n">
        <v>1.408</v>
      </c>
      <c r="M128" s="4" t="inlineStr">
        <is>
          <t>R1.119</t>
        </is>
      </c>
      <c r="N128" s="9">
        <f>IFERROR(IF(P128&lt;&gt;"",IF(INDEX($P$2:$P$417,MATCH($M128,$A$2:$A$417,0))="","",P128-INDEX($P$2:$P$417,MATCH($M128,$A$2:$A$417,0))),IF(H128&lt;&gt;"",IF(INDEX($H$2:$H$417,MATCH($M128,$A$2:$A$417,0))="","",H128-INDEX($H$2:$H$417,MATCH($M128,$A$2:$A$417,0))),IF(O128&lt;&gt;"",IF(INDEX($O$2:$O$417,MATCH($M128,$A$2:$A$417,0))="","",O128-INDEX($O$2:$O$417,MATCH($M128,$A$2:$A$417,0))),IF(Q128&lt;&gt;"",IF(INDEX($Q$2:$Q$417,MATCH($M128,$A$2:$A$417,0))="","",Q128-INDEX($Q$2:$Q$417,MATCH($M128,$A$2:$A$417,0))),"")))),"")</f>
        <v/>
      </c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10" t="n"/>
      <c r="Z128" s="10" t="n"/>
      <c r="AA128" s="6" t="n"/>
      <c r="AB128" s="11" t="inlineStr">
        <is>
          <t>head sweep combo_long_l2: features=chunk, batch_size=1024, max_epochs=120, patience=10, n_layers=2</t>
        </is>
      </c>
      <c r="AC128" s="11" t="n"/>
    </row>
    <row r="129" ht="28" customHeight="1">
      <c r="A129" s="12" t="inlineStr">
        <is>
          <t>R1.128</t>
        </is>
      </c>
      <c r="B129" s="13" t="n">
        <v>46254</v>
      </c>
      <c r="C129" s="12" t="inlineStr">
        <is>
          <t>sensitive</t>
        </is>
      </c>
      <c r="D129" s="12" t="inlineStr">
        <is>
          <t>tl17_base + head[combo_long_lr3e-3]</t>
        </is>
      </c>
      <c r="E129" s="12" t="inlineStr">
        <is>
          <t>val100k</t>
        </is>
      </c>
      <c r="F129" s="14" t="inlineStr">
        <is>
          <t>T1</t>
        </is>
      </c>
      <c r="G129" s="15" t="n">
        <v>20000</v>
      </c>
      <c r="H129" s="16" t="n">
        <v>0.9963</v>
      </c>
      <c r="I129" s="16" t="n">
        <v>0.9933</v>
      </c>
      <c r="J129" s="16" t="n">
        <v>0.9782999999999999</v>
      </c>
      <c r="K129" s="17">
        <f>IF(OR(L129="",L129=0),"",1000/L129)</f>
        <v/>
      </c>
      <c r="L129" s="18" t="n">
        <v>1.341</v>
      </c>
      <c r="M129" s="14" t="inlineStr">
        <is>
          <t>R1.119</t>
        </is>
      </c>
      <c r="N129" s="19">
        <f>IFERROR(IF(P129&lt;&gt;"",IF(INDEX($P$2:$P$417,MATCH($M129,$A$2:$A$417,0))="","",P129-INDEX($P$2:$P$417,MATCH($M129,$A$2:$A$417,0))),IF(H129&lt;&gt;"",IF(INDEX($H$2:$H$417,MATCH($M129,$A$2:$A$417,0))="","",H129-INDEX($H$2:$H$417,MATCH($M129,$A$2:$A$417,0))),IF(O129&lt;&gt;"",IF(INDEX($O$2:$O$417,MATCH($M129,$A$2:$A$417,0))="","",O129-INDEX($O$2:$O$417,MATCH($M129,$A$2:$A$417,0))),IF(Q129&lt;&gt;"",IF(INDEX($Q$2:$Q$417,MATCH($M129,$A$2:$A$417,0))="","",Q129-INDEX($Q$2:$Q$417,MATCH($M129,$A$2:$A$417,0))),"")))),"")</f>
        <v/>
      </c>
      <c r="O129" s="16" t="n"/>
      <c r="P129" s="16" t="n"/>
      <c r="Q129" s="16" t="n"/>
      <c r="R129" s="16" t="n"/>
      <c r="S129" s="16" t="n"/>
      <c r="T129" s="16" t="n"/>
      <c r="U129" s="16" t="n"/>
      <c r="V129" s="16" t="n"/>
      <c r="W129" s="16" t="n"/>
      <c r="X129" s="16" t="n"/>
      <c r="Y129" s="20" t="n"/>
      <c r="Z129" s="20" t="n"/>
      <c r="AA129" s="16" t="n"/>
      <c r="AB129" s="21" t="inlineStr">
        <is>
          <t>head sweep combo_long_lr3e-3: features=chunk, batch_size=1024, max_epochs=120, patience=10, lr=0.003</t>
        </is>
      </c>
      <c r="AC129" s="21" t="n"/>
    </row>
    <row r="130" ht="28" customHeight="1">
      <c r="A130" s="2" t="inlineStr">
        <is>
          <t>R1.129</t>
        </is>
      </c>
      <c r="B130" s="3" t="n">
        <v>46254</v>
      </c>
      <c r="C130" s="2" t="inlineStr">
        <is>
          <t>sensitive</t>
        </is>
      </c>
      <c r="D130" s="2" t="inlineStr">
        <is>
          <t>tl17_base + head[combo_long_noisyor]</t>
        </is>
      </c>
      <c r="E130" s="2" t="inlineStr">
        <is>
          <t>val100k</t>
        </is>
      </c>
      <c r="F130" s="4" t="inlineStr">
        <is>
          <t>T1</t>
        </is>
      </c>
      <c r="G130" s="5" t="n">
        <v>20000</v>
      </c>
      <c r="H130" s="6" t="n">
        <v>0.9962</v>
      </c>
      <c r="I130" s="6" t="n">
        <v>0.9928</v>
      </c>
      <c r="J130" s="6" t="n">
        <v>0.9772</v>
      </c>
      <c r="K130" s="7">
        <f>IF(OR(L130="",L130=0),"",1000/L130)</f>
        <v/>
      </c>
      <c r="L130" s="8" t="n">
        <v>1.341</v>
      </c>
      <c r="M130" s="4" t="inlineStr">
        <is>
          <t>R1.119</t>
        </is>
      </c>
      <c r="N130" s="9">
        <f>IFERROR(IF(P130&lt;&gt;"",IF(INDEX($P$2:$P$417,MATCH($M130,$A$2:$A$417,0))="","",P130-INDEX($P$2:$P$417,MATCH($M130,$A$2:$A$417,0))),IF(H130&lt;&gt;"",IF(INDEX($H$2:$H$417,MATCH($M130,$A$2:$A$417,0))="","",H130-INDEX($H$2:$H$417,MATCH($M130,$A$2:$A$417,0))),IF(O130&lt;&gt;"",IF(INDEX($O$2:$O$417,MATCH($M130,$A$2:$A$417,0))="","",O130-INDEX($O$2:$O$417,MATCH($M130,$A$2:$A$417,0))),IF(Q130&lt;&gt;"",IF(INDEX($Q$2:$Q$417,MATCH($M130,$A$2:$A$417,0))="","",Q130-INDEX($Q$2:$Q$417,MATCH($M130,$A$2:$A$417,0))),"")))),"")</f>
        <v/>
      </c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10" t="n"/>
      <c r="Z130" s="10" t="n"/>
      <c r="AA130" s="6" t="n"/>
      <c r="AB130" s="11" t="inlineStr">
        <is>
          <t>head sweep combo_long_noisyor: features=chunk, batch_size=1024, max_epochs=120, patience=10, fusion=noisy_or</t>
        </is>
      </c>
      <c r="AC130" s="11" t="n"/>
    </row>
    <row r="131" ht="28" customHeight="1">
      <c r="A131" s="12" t="inlineStr">
        <is>
          <t>R1.130</t>
        </is>
      </c>
      <c r="B131" s="13" t="n">
        <v>46254</v>
      </c>
      <c r="C131" s="12" t="inlineStr">
        <is>
          <t>sensitive</t>
        </is>
      </c>
      <c r="D131" s="12" t="inlineStr">
        <is>
          <t>tl17_base + head[combo_long_pertag]</t>
        </is>
      </c>
      <c r="E131" s="12" t="inlineStr">
        <is>
          <t>val100k</t>
        </is>
      </c>
      <c r="F131" s="14" t="inlineStr">
        <is>
          <t>T1</t>
        </is>
      </c>
      <c r="G131" s="15" t="n">
        <v>20000</v>
      </c>
      <c r="H131" s="16" t="n">
        <v>0.9957</v>
      </c>
      <c r="I131" s="16" t="n">
        <v>0.9933999999999999</v>
      </c>
      <c r="J131" s="16" t="n">
        <v>0.9775</v>
      </c>
      <c r="K131" s="17">
        <f>IF(OR(L131="",L131=0),"",1000/L131)</f>
        <v/>
      </c>
      <c r="L131" s="18" t="n">
        <v>1.341</v>
      </c>
      <c r="M131" s="14" t="inlineStr">
        <is>
          <t>R1.119</t>
        </is>
      </c>
      <c r="N131" s="19">
        <f>IFERROR(IF(P131&lt;&gt;"",IF(INDEX($P$2:$P$417,MATCH($M131,$A$2:$A$417,0))="","",P131-INDEX($P$2:$P$417,MATCH($M131,$A$2:$A$417,0))),IF(H131&lt;&gt;"",IF(INDEX($H$2:$H$417,MATCH($M131,$A$2:$A$417,0))="","",H131-INDEX($H$2:$H$417,MATCH($M131,$A$2:$A$417,0))),IF(O131&lt;&gt;"",IF(INDEX($O$2:$O$417,MATCH($M131,$A$2:$A$417,0))="","",O131-INDEX($O$2:$O$417,MATCH($M131,$A$2:$A$417,0))),IF(Q131&lt;&gt;"",IF(INDEX($Q$2:$Q$417,MATCH($M131,$A$2:$A$417,0))="","",Q131-INDEX($Q$2:$Q$417,MATCH($M131,$A$2:$A$417,0))),"")))),"")</f>
        <v/>
      </c>
      <c r="O131" s="16" t="n"/>
      <c r="P131" s="16" t="n"/>
      <c r="Q131" s="16" t="n"/>
      <c r="R131" s="16" t="n"/>
      <c r="S131" s="16" t="n"/>
      <c r="T131" s="16" t="n"/>
      <c r="U131" s="16" t="n"/>
      <c r="V131" s="16" t="n"/>
      <c r="W131" s="16" t="n"/>
      <c r="X131" s="16" t="n"/>
      <c r="Y131" s="20" t="n"/>
      <c r="Z131" s="20" t="n"/>
      <c r="AA131" s="16" t="n"/>
      <c r="AB131" s="21" t="inlineStr">
        <is>
          <t>head sweep combo_long_pertag: features=chunk, batch_size=1024, max_epochs=120, patience=10, threshold=per_tag</t>
        </is>
      </c>
      <c r="AC131" s="21" t="n"/>
    </row>
    <row r="132" ht="28" customHeight="1">
      <c r="A132" s="2" t="inlineStr">
        <is>
          <t>R1.131</t>
        </is>
      </c>
      <c r="B132" s="3" t="n">
        <v>46254</v>
      </c>
      <c r="C132" s="2" t="inlineStr">
        <is>
          <t>sensitive</t>
        </is>
      </c>
      <c r="D132" s="2" t="inlineStr">
        <is>
          <t>tl17_base + head[combo_long_pw10]</t>
        </is>
      </c>
      <c r="E132" s="2" t="inlineStr">
        <is>
          <t>val100k</t>
        </is>
      </c>
      <c r="F132" s="4" t="inlineStr">
        <is>
          <t>T1</t>
        </is>
      </c>
      <c r="G132" s="5" t="n">
        <v>20000</v>
      </c>
      <c r="H132" s="6" t="n">
        <v>0.9968</v>
      </c>
      <c r="I132" s="6" t="n">
        <v>0.9931</v>
      </c>
      <c r="J132" s="6" t="n">
        <v>0.9703000000000001</v>
      </c>
      <c r="K132" s="7">
        <f>IF(OR(L132="",L132=0),"",1000/L132)</f>
        <v/>
      </c>
      <c r="L132" s="8" t="n">
        <v>1.341</v>
      </c>
      <c r="M132" s="4" t="inlineStr">
        <is>
          <t>R1.119</t>
        </is>
      </c>
      <c r="N132" s="9">
        <f>IFERROR(IF(P132&lt;&gt;"",IF(INDEX($P$2:$P$417,MATCH($M132,$A$2:$A$417,0))="","",P132-INDEX($P$2:$P$417,MATCH($M132,$A$2:$A$417,0))),IF(H132&lt;&gt;"",IF(INDEX($H$2:$H$417,MATCH($M132,$A$2:$A$417,0))="","",H132-INDEX($H$2:$H$417,MATCH($M132,$A$2:$A$417,0))),IF(O132&lt;&gt;"",IF(INDEX($O$2:$O$417,MATCH($M132,$A$2:$A$417,0))="","",O132-INDEX($O$2:$O$417,MATCH($M132,$A$2:$A$417,0))),IF(Q132&lt;&gt;"",IF(INDEX($Q$2:$Q$417,MATCH($M132,$A$2:$A$417,0))="","",Q132-INDEX($Q$2:$Q$417,MATCH($M132,$A$2:$A$417,0))),"")))),"")</f>
        <v/>
      </c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10" t="n"/>
      <c r="Z132" s="10" t="n"/>
      <c r="AA132" s="6" t="n"/>
      <c r="AB132" s="11" t="inlineStr">
        <is>
          <t>head sweep combo_long_pw10: features=chunk, batch_size=1024, max_epochs=120, patience=10, pos_weight=10.0</t>
        </is>
      </c>
      <c r="AC132" s="11" t="n"/>
    </row>
    <row r="133" ht="28" customHeight="1">
      <c r="A133" s="12" t="inlineStr">
        <is>
          <t>R1.132</t>
        </is>
      </c>
      <c r="B133" s="13" t="n">
        <v>46254</v>
      </c>
      <c r="C133" s="12" t="inlineStr">
        <is>
          <t>sensitive</t>
        </is>
      </c>
      <c r="D133" s="12" t="inlineStr">
        <is>
          <t>tl17_base + head[combo_long_top2]</t>
        </is>
      </c>
      <c r="E133" s="12" t="inlineStr">
        <is>
          <t>val100k</t>
        </is>
      </c>
      <c r="F133" s="14" t="inlineStr">
        <is>
          <t>T1</t>
        </is>
      </c>
      <c r="G133" s="15" t="n">
        <v>20000</v>
      </c>
      <c r="H133" s="16" t="n">
        <v>0.9963</v>
      </c>
      <c r="I133" s="16" t="n">
        <v>0.9927</v>
      </c>
      <c r="J133" s="16" t="n">
        <v>0.9776</v>
      </c>
      <c r="K133" s="17">
        <f>IF(OR(L133="",L133=0),"",1000/L133)</f>
        <v/>
      </c>
      <c r="L133" s="18" t="n">
        <v>1.341</v>
      </c>
      <c r="M133" s="14" t="inlineStr">
        <is>
          <t>R1.119</t>
        </is>
      </c>
      <c r="N133" s="19">
        <f>IFERROR(IF(P133&lt;&gt;"",IF(INDEX($P$2:$P$417,MATCH($M133,$A$2:$A$417,0))="","",P133-INDEX($P$2:$P$417,MATCH($M133,$A$2:$A$417,0))),IF(H133&lt;&gt;"",IF(INDEX($H$2:$H$417,MATCH($M133,$A$2:$A$417,0))="","",H133-INDEX($H$2:$H$417,MATCH($M133,$A$2:$A$417,0))),IF(O133&lt;&gt;"",IF(INDEX($O$2:$O$417,MATCH($M133,$A$2:$A$417,0))="","",O133-INDEX($O$2:$O$417,MATCH($M133,$A$2:$A$417,0))),IF(Q133&lt;&gt;"",IF(INDEX($Q$2:$Q$417,MATCH($M133,$A$2:$A$417,0))="","",Q133-INDEX($Q$2:$Q$417,MATCH($M133,$A$2:$A$417,0))),"")))),"")</f>
        <v/>
      </c>
      <c r="O133" s="16" t="n"/>
      <c r="P133" s="16" t="n"/>
      <c r="Q133" s="16" t="n"/>
      <c r="R133" s="16" t="n"/>
      <c r="S133" s="16" t="n"/>
      <c r="T133" s="16" t="n"/>
      <c r="U133" s="16" t="n"/>
      <c r="V133" s="16" t="n"/>
      <c r="W133" s="16" t="n"/>
      <c r="X133" s="16" t="n"/>
      <c r="Y133" s="20" t="n"/>
      <c r="Z133" s="20" t="n"/>
      <c r="AA133" s="16" t="n"/>
      <c r="AB133" s="21" t="inlineStr">
        <is>
          <t>head sweep combo_long_top2: features=chunk, batch_size=1024, max_epochs=120, patience=10, fusion=top2</t>
        </is>
      </c>
      <c r="AC133" s="21" t="n"/>
    </row>
    <row r="134" ht="28" customHeight="1">
      <c r="A134" s="2" t="inlineStr">
        <is>
          <t>R1.133</t>
        </is>
      </c>
      <c r="B134" s="3" t="n">
        <v>46254</v>
      </c>
      <c r="C134" s="2" t="inlineStr">
        <is>
          <t>sensitive</t>
        </is>
      </c>
      <c r="D134" s="2" t="inlineStr">
        <is>
          <t>tl17_base + head[dropout0.1]</t>
        </is>
      </c>
      <c r="E134" s="2" t="inlineStr">
        <is>
          <t>val100k</t>
        </is>
      </c>
      <c r="F134" s="4" t="inlineStr">
        <is>
          <t>T1</t>
        </is>
      </c>
      <c r="G134" s="5" t="n">
        <v>20000</v>
      </c>
      <c r="H134" s="6" t="n">
        <v>0.9871</v>
      </c>
      <c r="I134" s="6" t="n">
        <v>0.98</v>
      </c>
      <c r="J134" s="6" t="n">
        <v>0.944</v>
      </c>
      <c r="K134" s="7">
        <f>IF(OR(L134="",L134=0),"",1000/L134)</f>
        <v/>
      </c>
      <c r="L134" s="8" t="n">
        <v>1.341</v>
      </c>
      <c r="M134" s="4" t="inlineStr">
        <is>
          <t>R1.119</t>
        </is>
      </c>
      <c r="N134" s="9">
        <f>IFERROR(IF(P134&lt;&gt;"",IF(INDEX($P$2:$P$417,MATCH($M134,$A$2:$A$417,0))="","",P134-INDEX($P$2:$P$417,MATCH($M134,$A$2:$A$417,0))),IF(H134&lt;&gt;"",IF(INDEX($H$2:$H$417,MATCH($M134,$A$2:$A$417,0))="","",H134-INDEX($H$2:$H$417,MATCH($M134,$A$2:$A$417,0))),IF(O134&lt;&gt;"",IF(INDEX($O$2:$O$417,MATCH($M134,$A$2:$A$417,0))="","",O134-INDEX($O$2:$O$417,MATCH($M134,$A$2:$A$417,0))),IF(Q134&lt;&gt;"",IF(INDEX($Q$2:$Q$417,MATCH($M134,$A$2:$A$417,0))="","",Q134-INDEX($Q$2:$Q$417,MATCH($M134,$A$2:$A$417,0))),"")))),"")</f>
        <v/>
      </c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10" t="n"/>
      <c r="Z134" s="10" t="n"/>
      <c r="AA134" s="6" t="n"/>
      <c r="AB134" s="11" t="inlineStr">
        <is>
          <t>head sweep dropout0.1: dropout=0.1</t>
        </is>
      </c>
      <c r="AC134" s="11" t="n"/>
    </row>
    <row r="135" ht="28" customHeight="1">
      <c r="A135" s="12" t="inlineStr">
        <is>
          <t>R1.134</t>
        </is>
      </c>
      <c r="B135" s="13" t="n">
        <v>46254</v>
      </c>
      <c r="C135" s="12" t="inlineStr">
        <is>
          <t>sensitive</t>
        </is>
      </c>
      <c r="D135" s="12" t="inlineStr">
        <is>
          <t>tl17_base + head[epochs120]</t>
        </is>
      </c>
      <c r="E135" s="12" t="inlineStr">
        <is>
          <t>val100k</t>
        </is>
      </c>
      <c r="F135" s="14" t="inlineStr">
        <is>
          <t>T1</t>
        </is>
      </c>
      <c r="G135" s="15" t="n">
        <v>20000</v>
      </c>
      <c r="H135" s="16" t="n">
        <v>0.9927</v>
      </c>
      <c r="I135" s="16" t="n">
        <v>0.9883000000000001</v>
      </c>
      <c r="J135" s="16" t="n">
        <v>0.9667</v>
      </c>
      <c r="K135" s="17">
        <f>IF(OR(L135="",L135=0),"",1000/L135)</f>
        <v/>
      </c>
      <c r="L135" s="18" t="n">
        <v>1.341</v>
      </c>
      <c r="M135" s="14" t="inlineStr">
        <is>
          <t>R1.119</t>
        </is>
      </c>
      <c r="N135" s="19">
        <f>IFERROR(IF(P135&lt;&gt;"",IF(INDEX($P$2:$P$417,MATCH($M135,$A$2:$A$417,0))="","",P135-INDEX($P$2:$P$417,MATCH($M135,$A$2:$A$417,0))),IF(H135&lt;&gt;"",IF(INDEX($H$2:$H$417,MATCH($M135,$A$2:$A$417,0))="","",H135-INDEX($H$2:$H$417,MATCH($M135,$A$2:$A$417,0))),IF(O135&lt;&gt;"",IF(INDEX($O$2:$O$417,MATCH($M135,$A$2:$A$417,0))="","",O135-INDEX($O$2:$O$417,MATCH($M135,$A$2:$A$417,0))),IF(Q135&lt;&gt;"",IF(INDEX($Q$2:$Q$417,MATCH($M135,$A$2:$A$417,0))="","",Q135-INDEX($Q$2:$Q$417,MATCH($M135,$A$2:$A$417,0))),"")))),"")</f>
        <v/>
      </c>
      <c r="O135" s="16" t="n"/>
      <c r="P135" s="16" t="n"/>
      <c r="Q135" s="16" t="n"/>
      <c r="R135" s="16" t="n"/>
      <c r="S135" s="16" t="n"/>
      <c r="T135" s="16" t="n"/>
      <c r="U135" s="16" t="n"/>
      <c r="V135" s="16" t="n"/>
      <c r="W135" s="16" t="n"/>
      <c r="X135" s="16" t="n"/>
      <c r="Y135" s="20" t="n"/>
      <c r="Z135" s="20" t="n"/>
      <c r="AA135" s="16" t="n"/>
      <c r="AB135" s="21" t="inlineStr">
        <is>
          <t>head sweep epochs120: max_epochs=120, patience=10</t>
        </is>
      </c>
      <c r="AC135" s="21" t="n"/>
    </row>
    <row r="136" ht="28" customHeight="1">
      <c r="A136" s="2" t="inlineStr">
        <is>
          <t>R1.135</t>
        </is>
      </c>
      <c r="B136" s="3" t="n">
        <v>46254</v>
      </c>
      <c r="C136" s="2" t="inlineStr">
        <is>
          <t>sensitive</t>
        </is>
      </c>
      <c r="D136" s="2" t="inlineStr">
        <is>
          <t>tl17_base + head[feat_chunk]</t>
        </is>
      </c>
      <c r="E136" s="2" t="inlineStr">
        <is>
          <t>val100k</t>
        </is>
      </c>
      <c r="F136" s="4" t="inlineStr">
        <is>
          <t>T1</t>
        </is>
      </c>
      <c r="G136" s="5" t="n">
        <v>20000</v>
      </c>
      <c r="H136" s="6" t="n">
        <v>0.9935</v>
      </c>
      <c r="I136" s="6" t="n">
        <v>0.9868</v>
      </c>
      <c r="J136" s="6" t="n">
        <v>0.9634</v>
      </c>
      <c r="K136" s="7">
        <f>IF(OR(L136="",L136=0),"",1000/L136)</f>
        <v/>
      </c>
      <c r="L136" s="8" t="n">
        <v>1.341</v>
      </c>
      <c r="M136" s="4" t="inlineStr">
        <is>
          <t>R1.119</t>
        </is>
      </c>
      <c r="N136" s="9">
        <f>IFERROR(IF(P136&lt;&gt;"",IF(INDEX($P$2:$P$417,MATCH($M136,$A$2:$A$417,0))="","",P136-INDEX($P$2:$P$417,MATCH($M136,$A$2:$A$417,0))),IF(H136&lt;&gt;"",IF(INDEX($H$2:$H$417,MATCH($M136,$A$2:$A$417,0))="","",H136-INDEX($H$2:$H$417,MATCH($M136,$A$2:$A$417,0))),IF(O136&lt;&gt;"",IF(INDEX($O$2:$O$417,MATCH($M136,$A$2:$A$417,0))="","",O136-INDEX($O$2:$O$417,MATCH($M136,$A$2:$A$417,0))),IF(Q136&lt;&gt;"",IF(INDEX($Q$2:$Q$417,MATCH($M136,$A$2:$A$417,0))="","",Q136-INDEX($Q$2:$Q$417,MATCH($M136,$A$2:$A$417,0))),"")))),"")</f>
        <v/>
      </c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10" t="n"/>
      <c r="Z136" s="10" t="n"/>
      <c r="AA136" s="6" t="n"/>
      <c r="AB136" s="11" t="inlineStr">
        <is>
          <t>head sweep feat_chunk: features=chunk</t>
        </is>
      </c>
      <c r="AC136" s="11" t="n"/>
    </row>
    <row r="137" ht="28" customHeight="1">
      <c r="A137" s="12" t="inlineStr">
        <is>
          <t>R1.136</t>
        </is>
      </c>
      <c r="B137" s="13" t="n">
        <v>46254</v>
      </c>
      <c r="C137" s="12" t="inlineStr">
        <is>
          <t>sensitive</t>
        </is>
      </c>
      <c r="D137" s="12" t="inlineStr">
        <is>
          <t>tl17_base + head[feat_docmean]</t>
        </is>
      </c>
      <c r="E137" s="12" t="inlineStr">
        <is>
          <t>val100k</t>
        </is>
      </c>
      <c r="F137" s="14" t="inlineStr">
        <is>
          <t>T1</t>
        </is>
      </c>
      <c r="G137" s="15" t="n">
        <v>20000</v>
      </c>
      <c r="H137" s="16" t="n">
        <v>0.99</v>
      </c>
      <c r="I137" s="16" t="n">
        <v>0.9815</v>
      </c>
      <c r="J137" s="16" t="n">
        <v>0.9459000000000001</v>
      </c>
      <c r="K137" s="17">
        <f>IF(OR(L137="",L137=0),"",1000/L137)</f>
        <v/>
      </c>
      <c r="L137" s="18" t="n">
        <v>1.341</v>
      </c>
      <c r="M137" s="14" t="inlineStr">
        <is>
          <t>R1.119</t>
        </is>
      </c>
      <c r="N137" s="19">
        <f>IFERROR(IF(P137&lt;&gt;"",IF(INDEX($P$2:$P$417,MATCH($M137,$A$2:$A$417,0))="","",P137-INDEX($P$2:$P$417,MATCH($M137,$A$2:$A$417,0))),IF(H137&lt;&gt;"",IF(INDEX($H$2:$H$417,MATCH($M137,$A$2:$A$417,0))="","",H137-INDEX($H$2:$H$417,MATCH($M137,$A$2:$A$417,0))),IF(O137&lt;&gt;"",IF(INDEX($O$2:$O$417,MATCH($M137,$A$2:$A$417,0))="","",O137-INDEX($O$2:$O$417,MATCH($M137,$A$2:$A$417,0))),IF(Q137&lt;&gt;"",IF(INDEX($Q$2:$Q$417,MATCH($M137,$A$2:$A$417,0))="","",Q137-INDEX($Q$2:$Q$417,MATCH($M137,$A$2:$A$417,0))),"")))),"")</f>
        <v/>
      </c>
      <c r="O137" s="16" t="n"/>
      <c r="P137" s="16" t="n"/>
      <c r="Q137" s="16" t="n"/>
      <c r="R137" s="16" t="n"/>
      <c r="S137" s="16" t="n"/>
      <c r="T137" s="16" t="n"/>
      <c r="U137" s="16" t="n"/>
      <c r="V137" s="16" t="n"/>
      <c r="W137" s="16" t="n"/>
      <c r="X137" s="16" t="n"/>
      <c r="Y137" s="20" t="n"/>
      <c r="Z137" s="20" t="n"/>
      <c r="AA137" s="16" t="n"/>
      <c r="AB137" s="21" t="inlineStr">
        <is>
          <t>head sweep feat_docmean: features=docmean</t>
        </is>
      </c>
      <c r="AC137" s="21" t="n"/>
    </row>
    <row r="138" ht="28" customHeight="1">
      <c r="A138" s="2" t="inlineStr">
        <is>
          <t>R1.137</t>
        </is>
      </c>
      <c r="B138" s="3" t="n">
        <v>46254</v>
      </c>
      <c r="C138" s="2" t="inlineStr">
        <is>
          <t>sensitive</t>
        </is>
      </c>
      <c r="D138" s="2" t="inlineStr">
        <is>
          <t>tl17_base + head[fusion_mean]</t>
        </is>
      </c>
      <c r="E138" s="2" t="inlineStr">
        <is>
          <t>val100k</t>
        </is>
      </c>
      <c r="F138" s="4" t="inlineStr">
        <is>
          <t>T1</t>
        </is>
      </c>
      <c r="G138" s="5" t="n">
        <v>20000</v>
      </c>
      <c r="H138" s="6" t="n">
        <v>0.9879</v>
      </c>
      <c r="I138" s="6" t="n">
        <v>0.9812</v>
      </c>
      <c r="J138" s="6" t="n">
        <v>0.9443</v>
      </c>
      <c r="K138" s="7">
        <f>IF(OR(L138="",L138=0),"",1000/L138)</f>
        <v/>
      </c>
      <c r="L138" s="8" t="n">
        <v>1.341</v>
      </c>
      <c r="M138" s="4" t="inlineStr">
        <is>
          <t>R1.119</t>
        </is>
      </c>
      <c r="N138" s="9">
        <f>IFERROR(IF(P138&lt;&gt;"",IF(INDEX($P$2:$P$417,MATCH($M138,$A$2:$A$417,0))="","",P138-INDEX($P$2:$P$417,MATCH($M138,$A$2:$A$417,0))),IF(H138&lt;&gt;"",IF(INDEX($H$2:$H$417,MATCH($M138,$A$2:$A$417,0))="","",H138-INDEX($H$2:$H$417,MATCH($M138,$A$2:$A$417,0))),IF(O138&lt;&gt;"",IF(INDEX($O$2:$O$417,MATCH($M138,$A$2:$A$417,0))="","",O138-INDEX($O$2:$O$417,MATCH($M138,$A$2:$A$417,0))),IF(Q138&lt;&gt;"",IF(INDEX($Q$2:$Q$417,MATCH($M138,$A$2:$A$417,0))="","",Q138-INDEX($Q$2:$Q$417,MATCH($M138,$A$2:$A$417,0))),"")))),"")</f>
        <v/>
      </c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10" t="n"/>
      <c r="Z138" s="10" t="n"/>
      <c r="AA138" s="6" t="n"/>
      <c r="AB138" s="11" t="inlineStr">
        <is>
          <t>head sweep fusion_mean: fusion=mean</t>
        </is>
      </c>
      <c r="AC138" s="11" t="n"/>
    </row>
    <row r="139" ht="28" customHeight="1">
      <c r="A139" s="12" t="inlineStr">
        <is>
          <t>R1.138</t>
        </is>
      </c>
      <c r="B139" s="13" t="n">
        <v>46254</v>
      </c>
      <c r="C139" s="12" t="inlineStr">
        <is>
          <t>sensitive</t>
        </is>
      </c>
      <c r="D139" s="12" t="inlineStr">
        <is>
          <t>tl17_base + head[fusion_noisyor]</t>
        </is>
      </c>
      <c r="E139" s="12" t="inlineStr">
        <is>
          <t>val100k</t>
        </is>
      </c>
      <c r="F139" s="14" t="inlineStr">
        <is>
          <t>T1</t>
        </is>
      </c>
      <c r="G139" s="15" t="n">
        <v>20000</v>
      </c>
      <c r="H139" s="16" t="n">
        <v>0.9878</v>
      </c>
      <c r="I139" s="16" t="n">
        <v>0.9812</v>
      </c>
      <c r="J139" s="16" t="n">
        <v>0.9463</v>
      </c>
      <c r="K139" s="17">
        <f>IF(OR(L139="",L139=0),"",1000/L139)</f>
        <v/>
      </c>
      <c r="L139" s="18" t="n">
        <v>1.341</v>
      </c>
      <c r="M139" s="14" t="inlineStr">
        <is>
          <t>R1.119</t>
        </is>
      </c>
      <c r="N139" s="19">
        <f>IFERROR(IF(P139&lt;&gt;"",IF(INDEX($P$2:$P$417,MATCH($M139,$A$2:$A$417,0))="","",P139-INDEX($P$2:$P$417,MATCH($M139,$A$2:$A$417,0))),IF(H139&lt;&gt;"",IF(INDEX($H$2:$H$417,MATCH($M139,$A$2:$A$417,0))="","",H139-INDEX($H$2:$H$417,MATCH($M139,$A$2:$A$417,0))),IF(O139&lt;&gt;"",IF(INDEX($O$2:$O$417,MATCH($M139,$A$2:$A$417,0))="","",O139-INDEX($O$2:$O$417,MATCH($M139,$A$2:$A$417,0))),IF(Q139&lt;&gt;"",IF(INDEX($Q$2:$Q$417,MATCH($M139,$A$2:$A$417,0))="","",Q139-INDEX($Q$2:$Q$417,MATCH($M139,$A$2:$A$417,0))),"")))),"")</f>
        <v/>
      </c>
      <c r="O139" s="16" t="n"/>
      <c r="P139" s="16" t="n"/>
      <c r="Q139" s="16" t="n"/>
      <c r="R139" s="16" t="n"/>
      <c r="S139" s="16" t="n"/>
      <c r="T139" s="16" t="n"/>
      <c r="U139" s="16" t="n"/>
      <c r="V139" s="16" t="n"/>
      <c r="W139" s="16" t="n"/>
      <c r="X139" s="16" t="n"/>
      <c r="Y139" s="20" t="n"/>
      <c r="Z139" s="20" t="n"/>
      <c r="AA139" s="16" t="n"/>
      <c r="AB139" s="21" t="inlineStr">
        <is>
          <t>head sweep fusion_noisyor: fusion=noisy_or</t>
        </is>
      </c>
      <c r="AC139" s="21" t="n"/>
    </row>
    <row r="140" ht="28" customHeight="1">
      <c r="A140" s="2" t="inlineStr">
        <is>
          <t>R1.139</t>
        </is>
      </c>
      <c r="B140" s="3" t="n">
        <v>46254</v>
      </c>
      <c r="C140" s="2" t="inlineStr">
        <is>
          <t>sensitive</t>
        </is>
      </c>
      <c r="D140" s="2" t="inlineStr">
        <is>
          <t>tl17_base + head[fusion_top2]</t>
        </is>
      </c>
      <c r="E140" s="2" t="inlineStr">
        <is>
          <t>val100k</t>
        </is>
      </c>
      <c r="F140" s="4" t="inlineStr">
        <is>
          <t>T1</t>
        </is>
      </c>
      <c r="G140" s="5" t="n">
        <v>20000</v>
      </c>
      <c r="H140" s="6" t="n">
        <v>0.9879</v>
      </c>
      <c r="I140" s="6" t="n">
        <v>0.9809</v>
      </c>
      <c r="J140" s="6" t="n">
        <v>0.9446</v>
      </c>
      <c r="K140" s="7">
        <f>IF(OR(L140="",L140=0),"",1000/L140)</f>
        <v/>
      </c>
      <c r="L140" s="8" t="n">
        <v>1.341</v>
      </c>
      <c r="M140" s="4" t="inlineStr">
        <is>
          <t>R1.119</t>
        </is>
      </c>
      <c r="N140" s="9">
        <f>IFERROR(IF(P140&lt;&gt;"",IF(INDEX($P$2:$P$417,MATCH($M140,$A$2:$A$417,0))="","",P140-INDEX($P$2:$P$417,MATCH($M140,$A$2:$A$417,0))),IF(H140&lt;&gt;"",IF(INDEX($H$2:$H$417,MATCH($M140,$A$2:$A$417,0))="","",H140-INDEX($H$2:$H$417,MATCH($M140,$A$2:$A$417,0))),IF(O140&lt;&gt;"",IF(INDEX($O$2:$O$417,MATCH($M140,$A$2:$A$417,0))="","",O140-INDEX($O$2:$O$417,MATCH($M140,$A$2:$A$417,0))),IF(Q140&lt;&gt;"",IF(INDEX($Q$2:$Q$417,MATCH($M140,$A$2:$A$417,0))="","",Q140-INDEX($Q$2:$Q$417,MATCH($M140,$A$2:$A$417,0))),"")))),"")</f>
        <v/>
      </c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10" t="n"/>
      <c r="Z140" s="10" t="n"/>
      <c r="AA140" s="6" t="n"/>
      <c r="AB140" s="11" t="inlineStr">
        <is>
          <t>head sweep fusion_top2: fusion=top2</t>
        </is>
      </c>
      <c r="AC140" s="11" t="n"/>
    </row>
    <row r="141" ht="28" customHeight="1">
      <c r="A141" s="12" t="inlineStr">
        <is>
          <t>R1.140</t>
        </is>
      </c>
      <c r="B141" s="13" t="n">
        <v>46254</v>
      </c>
      <c r="C141" s="12" t="inlineStr">
        <is>
          <t>sensitive</t>
        </is>
      </c>
      <c r="D141" s="12" t="inlineStr">
        <is>
          <t>tl17_base + head[hidden1024]</t>
        </is>
      </c>
      <c r="E141" s="12" t="inlineStr">
        <is>
          <t>val100k</t>
        </is>
      </c>
      <c r="F141" s="14" t="inlineStr">
        <is>
          <t>T1</t>
        </is>
      </c>
      <c r="G141" s="15" t="n">
        <v>20000</v>
      </c>
      <c r="H141" s="16" t="n">
        <v>0.9892</v>
      </c>
      <c r="I141" s="16" t="n">
        <v>0.9835</v>
      </c>
      <c r="J141" s="16" t="n">
        <v>0.9533</v>
      </c>
      <c r="K141" s="17">
        <f>IF(OR(L141="",L141=0),"",1000/L141)</f>
        <v/>
      </c>
      <c r="L141" s="18" t="n">
        <v>1.402</v>
      </c>
      <c r="M141" s="14" t="inlineStr">
        <is>
          <t>R1.119</t>
        </is>
      </c>
      <c r="N141" s="19">
        <f>IFERROR(IF(P141&lt;&gt;"",IF(INDEX($P$2:$P$417,MATCH($M141,$A$2:$A$417,0))="","",P141-INDEX($P$2:$P$417,MATCH($M141,$A$2:$A$417,0))),IF(H141&lt;&gt;"",IF(INDEX($H$2:$H$417,MATCH($M141,$A$2:$A$417,0))="","",H141-INDEX($H$2:$H$417,MATCH($M141,$A$2:$A$417,0))),IF(O141&lt;&gt;"",IF(INDEX($O$2:$O$417,MATCH($M141,$A$2:$A$417,0))="","",O141-INDEX($O$2:$O$417,MATCH($M141,$A$2:$A$417,0))),IF(Q141&lt;&gt;"",IF(INDEX($Q$2:$Q$417,MATCH($M141,$A$2:$A$417,0))="","",Q141-INDEX($Q$2:$Q$417,MATCH($M141,$A$2:$A$417,0))),"")))),"")</f>
        <v/>
      </c>
      <c r="O141" s="16" t="n"/>
      <c r="P141" s="16" t="n"/>
      <c r="Q141" s="16" t="n"/>
      <c r="R141" s="16" t="n"/>
      <c r="S141" s="16" t="n"/>
      <c r="T141" s="16" t="n"/>
      <c r="U141" s="16" t="n"/>
      <c r="V141" s="16" t="n"/>
      <c r="W141" s="16" t="n"/>
      <c r="X141" s="16" t="n"/>
      <c r="Y141" s="20" t="n"/>
      <c r="Z141" s="20" t="n"/>
      <c r="AA141" s="16" t="n"/>
      <c r="AB141" s="21" t="inlineStr">
        <is>
          <t>head sweep hidden1024: hidden_dim=1024</t>
        </is>
      </c>
      <c r="AC141" s="21" t="n"/>
    </row>
    <row r="142" ht="28" customHeight="1">
      <c r="A142" s="2" t="inlineStr">
        <is>
          <t>R1.141</t>
        </is>
      </c>
      <c r="B142" s="3" t="n">
        <v>46254</v>
      </c>
      <c r="C142" s="2" t="inlineStr">
        <is>
          <t>sensitive</t>
        </is>
      </c>
      <c r="D142" s="2" t="inlineStr">
        <is>
          <t>tl17_base + head[hidden2048]</t>
        </is>
      </c>
      <c r="E142" s="2" t="inlineStr">
        <is>
          <t>val100k</t>
        </is>
      </c>
      <c r="F142" s="4" t="inlineStr">
        <is>
          <t>T1</t>
        </is>
      </c>
      <c r="G142" s="5" t="n">
        <v>20000</v>
      </c>
      <c r="H142" s="6" t="n">
        <v>0.9903999999999999</v>
      </c>
      <c r="I142" s="6" t="n">
        <v>0.9861</v>
      </c>
      <c r="J142" s="6" t="n">
        <v>0.9627</v>
      </c>
      <c r="K142" s="7">
        <f>IF(OR(L142="",L142=0),"",1000/L142)</f>
        <v/>
      </c>
      <c r="L142" s="8" t="n">
        <v>1.467</v>
      </c>
      <c r="M142" s="4" t="inlineStr">
        <is>
          <t>R1.119</t>
        </is>
      </c>
      <c r="N142" s="9">
        <f>IFERROR(IF(P142&lt;&gt;"",IF(INDEX($P$2:$P$417,MATCH($M142,$A$2:$A$417,0))="","",P142-INDEX($P$2:$P$417,MATCH($M142,$A$2:$A$417,0))),IF(H142&lt;&gt;"",IF(INDEX($H$2:$H$417,MATCH($M142,$A$2:$A$417,0))="","",H142-INDEX($H$2:$H$417,MATCH($M142,$A$2:$A$417,0))),IF(O142&lt;&gt;"",IF(INDEX($O$2:$O$417,MATCH($M142,$A$2:$A$417,0))="","",O142-INDEX($O$2:$O$417,MATCH($M142,$A$2:$A$417,0))),IF(Q142&lt;&gt;"",IF(INDEX($Q$2:$Q$417,MATCH($M142,$A$2:$A$417,0))="","",Q142-INDEX($Q$2:$Q$417,MATCH($M142,$A$2:$A$417,0))),"")))),"")</f>
        <v/>
      </c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10" t="n"/>
      <c r="Z142" s="10" t="n"/>
      <c r="AA142" s="6" t="n"/>
      <c r="AB142" s="11" t="inlineStr">
        <is>
          <t>head sweep hidden2048: hidden_dim=2048</t>
        </is>
      </c>
      <c r="AC142" s="11" t="n"/>
    </row>
    <row r="143" ht="28" customHeight="1">
      <c r="A143" s="12" t="inlineStr">
        <is>
          <t>R1.142</t>
        </is>
      </c>
      <c r="B143" s="13" t="n">
        <v>46254</v>
      </c>
      <c r="C143" s="12" t="inlineStr">
        <is>
          <t>sensitive</t>
        </is>
      </c>
      <c r="D143" s="12" t="inlineStr">
        <is>
          <t>tl17_base + head[hidden256]</t>
        </is>
      </c>
      <c r="E143" s="12" t="inlineStr">
        <is>
          <t>val100k</t>
        </is>
      </c>
      <c r="F143" s="14" t="inlineStr">
        <is>
          <t>T1</t>
        </is>
      </c>
      <c r="G143" s="15" t="n">
        <v>20000</v>
      </c>
      <c r="H143" s="16" t="n">
        <v>0.9848</v>
      </c>
      <c r="I143" s="16" t="n">
        <v>0.9746</v>
      </c>
      <c r="J143" s="16" t="n">
        <v>0.9297</v>
      </c>
      <c r="K143" s="17">
        <f>IF(OR(L143="",L143=0),"",1000/L143)</f>
        <v/>
      </c>
      <c r="L143" s="18" t="n">
        <v>1.372</v>
      </c>
      <c r="M143" s="14" t="inlineStr">
        <is>
          <t>R1.119</t>
        </is>
      </c>
      <c r="N143" s="19">
        <f>IFERROR(IF(P143&lt;&gt;"",IF(INDEX($P$2:$P$417,MATCH($M143,$A$2:$A$417,0))="","",P143-INDEX($P$2:$P$417,MATCH($M143,$A$2:$A$417,0))),IF(H143&lt;&gt;"",IF(INDEX($H$2:$H$417,MATCH($M143,$A$2:$A$417,0))="","",H143-INDEX($H$2:$H$417,MATCH($M143,$A$2:$A$417,0))),IF(O143&lt;&gt;"",IF(INDEX($O$2:$O$417,MATCH($M143,$A$2:$A$417,0))="","",O143-INDEX($O$2:$O$417,MATCH($M143,$A$2:$A$417,0))),IF(Q143&lt;&gt;"",IF(INDEX($Q$2:$Q$417,MATCH($M143,$A$2:$A$417,0))="","",Q143-INDEX($Q$2:$Q$417,MATCH($M143,$A$2:$A$417,0))),"")))),"")</f>
        <v/>
      </c>
      <c r="O143" s="16" t="n"/>
      <c r="P143" s="16" t="n"/>
      <c r="Q143" s="16" t="n"/>
      <c r="R143" s="16" t="n"/>
      <c r="S143" s="16" t="n"/>
      <c r="T143" s="16" t="n"/>
      <c r="U143" s="16" t="n"/>
      <c r="V143" s="16" t="n"/>
      <c r="W143" s="16" t="n"/>
      <c r="X143" s="16" t="n"/>
      <c r="Y143" s="20" t="n"/>
      <c r="Z143" s="20" t="n"/>
      <c r="AA143" s="16" t="n"/>
      <c r="AB143" s="21" t="inlineStr">
        <is>
          <t>head sweep hidden256: hidden_dim=256</t>
        </is>
      </c>
      <c r="AC143" s="21" t="n"/>
    </row>
    <row r="144" ht="28" customHeight="1">
      <c r="A144" s="2" t="inlineStr">
        <is>
          <t>R1.143</t>
        </is>
      </c>
      <c r="B144" s="3" t="n">
        <v>46254</v>
      </c>
      <c r="C144" s="2" t="inlineStr">
        <is>
          <t>sensitive</t>
        </is>
      </c>
      <c r="D144" s="2" t="inlineStr">
        <is>
          <t>tl17_base + head[layers0]</t>
        </is>
      </c>
      <c r="E144" s="2" t="inlineStr">
        <is>
          <t>val100k</t>
        </is>
      </c>
      <c r="F144" s="4" t="inlineStr">
        <is>
          <t>T1</t>
        </is>
      </c>
      <c r="G144" s="5" t="n">
        <v>20000</v>
      </c>
      <c r="H144" s="6" t="n">
        <v>0.948</v>
      </c>
      <c r="I144" s="6" t="n">
        <v>0.9182</v>
      </c>
      <c r="J144" s="6" t="n">
        <v>0.8488</v>
      </c>
      <c r="K144" s="7">
        <f>IF(OR(L144="",L144=0),"",1000/L144)</f>
        <v/>
      </c>
      <c r="L144" s="8" t="n">
        <v>1.33</v>
      </c>
      <c r="M144" s="4" t="inlineStr">
        <is>
          <t>R1.119</t>
        </is>
      </c>
      <c r="N144" s="9">
        <f>IFERROR(IF(P144&lt;&gt;"",IF(INDEX($P$2:$P$417,MATCH($M144,$A$2:$A$417,0))="","",P144-INDEX($P$2:$P$417,MATCH($M144,$A$2:$A$417,0))),IF(H144&lt;&gt;"",IF(INDEX($H$2:$H$417,MATCH($M144,$A$2:$A$417,0))="","",H144-INDEX($H$2:$H$417,MATCH($M144,$A$2:$A$417,0))),IF(O144&lt;&gt;"",IF(INDEX($O$2:$O$417,MATCH($M144,$A$2:$A$417,0))="","",O144-INDEX($O$2:$O$417,MATCH($M144,$A$2:$A$417,0))),IF(Q144&lt;&gt;"",IF(INDEX($Q$2:$Q$417,MATCH($M144,$A$2:$A$417,0))="","",Q144-INDEX($Q$2:$Q$417,MATCH($M144,$A$2:$A$417,0))),"")))),"")</f>
        <v/>
      </c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10" t="n"/>
      <c r="Z144" s="10" t="n"/>
      <c r="AA144" s="6" t="n"/>
      <c r="AB144" s="11" t="inlineStr">
        <is>
          <t>head sweep layers0: n_layers=0</t>
        </is>
      </c>
      <c r="AC144" s="11" t="n"/>
    </row>
    <row r="145" ht="28" customHeight="1">
      <c r="A145" s="12" t="inlineStr">
        <is>
          <t>R1.144</t>
        </is>
      </c>
      <c r="B145" s="13" t="n">
        <v>46254</v>
      </c>
      <c r="C145" s="12" t="inlineStr">
        <is>
          <t>sensitive</t>
        </is>
      </c>
      <c r="D145" s="12" t="inlineStr">
        <is>
          <t>tl17_base + head[layers2]</t>
        </is>
      </c>
      <c r="E145" s="12" t="inlineStr">
        <is>
          <t>val100k</t>
        </is>
      </c>
      <c r="F145" s="14" t="inlineStr">
        <is>
          <t>T1</t>
        </is>
      </c>
      <c r="G145" s="15" t="n">
        <v>20000</v>
      </c>
      <c r="H145" s="16" t="n">
        <v>0.9909</v>
      </c>
      <c r="I145" s="16" t="n">
        <v>0.9857</v>
      </c>
      <c r="J145" s="16" t="n">
        <v>0.9619</v>
      </c>
      <c r="K145" s="17">
        <f>IF(OR(L145="",L145=0),"",1000/L145)</f>
        <v/>
      </c>
      <c r="L145" s="18" t="n">
        <v>1.408</v>
      </c>
      <c r="M145" s="14" t="inlineStr">
        <is>
          <t>R1.119</t>
        </is>
      </c>
      <c r="N145" s="19">
        <f>IFERROR(IF(P145&lt;&gt;"",IF(INDEX($P$2:$P$417,MATCH($M145,$A$2:$A$417,0))="","",P145-INDEX($P$2:$P$417,MATCH($M145,$A$2:$A$417,0))),IF(H145&lt;&gt;"",IF(INDEX($H$2:$H$417,MATCH($M145,$A$2:$A$417,0))="","",H145-INDEX($H$2:$H$417,MATCH($M145,$A$2:$A$417,0))),IF(O145&lt;&gt;"",IF(INDEX($O$2:$O$417,MATCH($M145,$A$2:$A$417,0))="","",O145-INDEX($O$2:$O$417,MATCH($M145,$A$2:$A$417,0))),IF(Q145&lt;&gt;"",IF(INDEX($Q$2:$Q$417,MATCH($M145,$A$2:$A$417,0))="","",Q145-INDEX($Q$2:$Q$417,MATCH($M145,$A$2:$A$417,0))),"")))),"")</f>
        <v/>
      </c>
      <c r="O145" s="16" t="n"/>
      <c r="P145" s="16" t="n"/>
      <c r="Q145" s="16" t="n"/>
      <c r="R145" s="16" t="n"/>
      <c r="S145" s="16" t="n"/>
      <c r="T145" s="16" t="n"/>
      <c r="U145" s="16" t="n"/>
      <c r="V145" s="16" t="n"/>
      <c r="W145" s="16" t="n"/>
      <c r="X145" s="16" t="n"/>
      <c r="Y145" s="20" t="n"/>
      <c r="Z145" s="20" t="n"/>
      <c r="AA145" s="16" t="n"/>
      <c r="AB145" s="21" t="inlineStr">
        <is>
          <t>head sweep layers2: n_layers=2</t>
        </is>
      </c>
      <c r="AC145" s="21" t="n"/>
    </row>
    <row r="146" ht="28" customHeight="1">
      <c r="A146" s="2" t="inlineStr">
        <is>
          <t>R1.145</t>
        </is>
      </c>
      <c r="B146" s="3" t="n">
        <v>46254</v>
      </c>
      <c r="C146" s="2" t="inlineStr">
        <is>
          <t>sensitive</t>
        </is>
      </c>
      <c r="D146" s="2" t="inlineStr">
        <is>
          <t>tl17_base + head[lr3e-3]</t>
        </is>
      </c>
      <c r="E146" s="2" t="inlineStr">
        <is>
          <t>val100k</t>
        </is>
      </c>
      <c r="F146" s="4" t="inlineStr">
        <is>
          <t>T1</t>
        </is>
      </c>
      <c r="G146" s="5" t="n">
        <v>20000</v>
      </c>
      <c r="H146" s="6" t="n">
        <v>0.9913999999999999</v>
      </c>
      <c r="I146" s="6" t="n">
        <v>0.9867</v>
      </c>
      <c r="J146" s="6" t="n">
        <v>0.9644</v>
      </c>
      <c r="K146" s="7">
        <f>IF(OR(L146="",L146=0),"",1000/L146)</f>
        <v/>
      </c>
      <c r="L146" s="8" t="n">
        <v>1.341</v>
      </c>
      <c r="M146" s="4" t="inlineStr">
        <is>
          <t>R1.119</t>
        </is>
      </c>
      <c r="N146" s="9">
        <f>IFERROR(IF(P146&lt;&gt;"",IF(INDEX($P$2:$P$417,MATCH($M146,$A$2:$A$417,0))="","",P146-INDEX($P$2:$P$417,MATCH($M146,$A$2:$A$417,0))),IF(H146&lt;&gt;"",IF(INDEX($H$2:$H$417,MATCH($M146,$A$2:$A$417,0))="","",H146-INDEX($H$2:$H$417,MATCH($M146,$A$2:$A$417,0))),IF(O146&lt;&gt;"",IF(INDEX($O$2:$O$417,MATCH($M146,$A$2:$A$417,0))="","",O146-INDEX($O$2:$O$417,MATCH($M146,$A$2:$A$417,0))),IF(Q146&lt;&gt;"",IF(INDEX($Q$2:$Q$417,MATCH($M146,$A$2:$A$417,0))="","",Q146-INDEX($Q$2:$Q$417,MATCH($M146,$A$2:$A$417,0))),"")))),"")</f>
        <v/>
      </c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10" t="n"/>
      <c r="Z146" s="10" t="n"/>
      <c r="AA146" s="6" t="n"/>
      <c r="AB146" s="11" t="inlineStr">
        <is>
          <t>head sweep lr3e-3: lr=0.003</t>
        </is>
      </c>
      <c r="AC146" s="11" t="n"/>
    </row>
    <row r="147" ht="28" customHeight="1">
      <c r="A147" s="12" t="inlineStr">
        <is>
          <t>R1.146</t>
        </is>
      </c>
      <c r="B147" s="13" t="n">
        <v>46254</v>
      </c>
      <c r="C147" s="12" t="inlineStr">
        <is>
          <t>sensitive</t>
        </is>
      </c>
      <c r="D147" s="12" t="inlineStr">
        <is>
          <t>tl17_base + head[lr3e-4]</t>
        </is>
      </c>
      <c r="E147" s="12" t="inlineStr">
        <is>
          <t>val100k</t>
        </is>
      </c>
      <c r="F147" s="14" t="inlineStr">
        <is>
          <t>T1</t>
        </is>
      </c>
      <c r="G147" s="15" t="n">
        <v>20000</v>
      </c>
      <c r="H147" s="16" t="n">
        <v>0.9725</v>
      </c>
      <c r="I147" s="16" t="n">
        <v>0.9575</v>
      </c>
      <c r="J147" s="16" t="n">
        <v>0.8947000000000001</v>
      </c>
      <c r="K147" s="17">
        <f>IF(OR(L147="",L147=0),"",1000/L147)</f>
        <v/>
      </c>
      <c r="L147" s="18" t="n">
        <v>1.341</v>
      </c>
      <c r="M147" s="14" t="inlineStr">
        <is>
          <t>R1.119</t>
        </is>
      </c>
      <c r="N147" s="19">
        <f>IFERROR(IF(P147&lt;&gt;"",IF(INDEX($P$2:$P$417,MATCH($M147,$A$2:$A$417,0))="","",P147-INDEX($P$2:$P$417,MATCH($M147,$A$2:$A$417,0))),IF(H147&lt;&gt;"",IF(INDEX($H$2:$H$417,MATCH($M147,$A$2:$A$417,0))="","",H147-INDEX($H$2:$H$417,MATCH($M147,$A$2:$A$417,0))),IF(O147&lt;&gt;"",IF(INDEX($O$2:$O$417,MATCH($M147,$A$2:$A$417,0))="","",O147-INDEX($O$2:$O$417,MATCH($M147,$A$2:$A$417,0))),IF(Q147&lt;&gt;"",IF(INDEX($Q$2:$Q$417,MATCH($M147,$A$2:$A$417,0))="","",Q147-INDEX($Q$2:$Q$417,MATCH($M147,$A$2:$A$417,0))),"")))),"")</f>
        <v/>
      </c>
      <c r="O147" s="16" t="n"/>
      <c r="P147" s="16" t="n"/>
      <c r="Q147" s="16" t="n"/>
      <c r="R147" s="16" t="n"/>
      <c r="S147" s="16" t="n"/>
      <c r="T147" s="16" t="n"/>
      <c r="U147" s="16" t="n"/>
      <c r="V147" s="16" t="n"/>
      <c r="W147" s="16" t="n"/>
      <c r="X147" s="16" t="n"/>
      <c r="Y147" s="20" t="n"/>
      <c r="Z147" s="20" t="n"/>
      <c r="AA147" s="16" t="n"/>
      <c r="AB147" s="21" t="inlineStr">
        <is>
          <t>head sweep lr3e-4: lr=0.0003</t>
        </is>
      </c>
      <c r="AC147" s="21" t="n"/>
    </row>
    <row r="148" ht="28" customHeight="1">
      <c r="A148" s="2" t="inlineStr">
        <is>
          <t>R1.147</t>
        </is>
      </c>
      <c r="B148" s="3" t="n">
        <v>46254</v>
      </c>
      <c r="C148" s="2" t="inlineStr">
        <is>
          <t>sensitive</t>
        </is>
      </c>
      <c r="D148" s="2" t="inlineStr">
        <is>
          <t>tl17_base + head[mintag100]</t>
        </is>
      </c>
      <c r="E148" s="2" t="inlineStr">
        <is>
          <t>val100k</t>
        </is>
      </c>
      <c r="F148" s="4" t="inlineStr">
        <is>
          <t>T1</t>
        </is>
      </c>
      <c r="G148" s="5" t="n">
        <v>20000</v>
      </c>
      <c r="H148" s="6" t="n">
        <v>0.9887</v>
      </c>
      <c r="I148" s="6" t="n">
        <v>0.9816</v>
      </c>
      <c r="J148" s="6" t="n">
        <v>0.9475</v>
      </c>
      <c r="K148" s="7">
        <f>IF(OR(L148="",L148=0),"",1000/L148)</f>
        <v/>
      </c>
      <c r="L148" s="8" t="n">
        <v>1.341</v>
      </c>
      <c r="M148" s="4" t="inlineStr">
        <is>
          <t>R1.119</t>
        </is>
      </c>
      <c r="N148" s="9">
        <f>IFERROR(IF(P148&lt;&gt;"",IF(INDEX($P$2:$P$417,MATCH($M148,$A$2:$A$417,0))="","",P148-INDEX($P$2:$P$417,MATCH($M148,$A$2:$A$417,0))),IF(H148&lt;&gt;"",IF(INDEX($H$2:$H$417,MATCH($M148,$A$2:$A$417,0))="","",H148-INDEX($H$2:$H$417,MATCH($M148,$A$2:$A$417,0))),IF(O148&lt;&gt;"",IF(INDEX($O$2:$O$417,MATCH($M148,$A$2:$A$417,0))="","",O148-INDEX($O$2:$O$417,MATCH($M148,$A$2:$A$417,0))),IF(Q148&lt;&gt;"",IF(INDEX($Q$2:$Q$417,MATCH($M148,$A$2:$A$417,0))="","",Q148-INDEX($Q$2:$Q$417,MATCH($M148,$A$2:$A$417,0))),"")))),"")</f>
        <v/>
      </c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10" t="n"/>
      <c r="Z148" s="10" t="n"/>
      <c r="AA148" s="6" t="n"/>
      <c r="AB148" s="11" t="inlineStr">
        <is>
          <t>head sweep mintag100: min_tag_count=100</t>
        </is>
      </c>
      <c r="AC148" s="11" t="n"/>
    </row>
    <row r="149" ht="28" customHeight="1">
      <c r="A149" s="12" t="inlineStr">
        <is>
          <t>R1.148</t>
        </is>
      </c>
      <c r="B149" s="13" t="n">
        <v>46254</v>
      </c>
      <c r="C149" s="12" t="inlineStr">
        <is>
          <t>sensitive</t>
        </is>
      </c>
      <c r="D149" s="12" t="inlineStr">
        <is>
          <t>tl17_base + head[mintag20]</t>
        </is>
      </c>
      <c r="E149" s="12" t="inlineStr">
        <is>
          <t>val100k</t>
        </is>
      </c>
      <c r="F149" s="14" t="inlineStr">
        <is>
          <t>T1</t>
        </is>
      </c>
      <c r="G149" s="15" t="n">
        <v>20000</v>
      </c>
      <c r="H149" s="16" t="n">
        <v>0.9876</v>
      </c>
      <c r="I149" s="16" t="n">
        <v>0.9812</v>
      </c>
      <c r="J149" s="16" t="n">
        <v>0.9463</v>
      </c>
      <c r="K149" s="17">
        <f>IF(OR(L149="",L149=0),"",1000/L149)</f>
        <v/>
      </c>
      <c r="L149" s="18" t="n">
        <v>1.341</v>
      </c>
      <c r="M149" s="14" t="inlineStr">
        <is>
          <t>R1.119</t>
        </is>
      </c>
      <c r="N149" s="19">
        <f>IFERROR(IF(P149&lt;&gt;"",IF(INDEX($P$2:$P$417,MATCH($M149,$A$2:$A$417,0))="","",P149-INDEX($P$2:$P$417,MATCH($M149,$A$2:$A$417,0))),IF(H149&lt;&gt;"",IF(INDEX($H$2:$H$417,MATCH($M149,$A$2:$A$417,0))="","",H149-INDEX($H$2:$H$417,MATCH($M149,$A$2:$A$417,0))),IF(O149&lt;&gt;"",IF(INDEX($O$2:$O$417,MATCH($M149,$A$2:$A$417,0))="","",O149-INDEX($O$2:$O$417,MATCH($M149,$A$2:$A$417,0))),IF(Q149&lt;&gt;"",IF(INDEX($Q$2:$Q$417,MATCH($M149,$A$2:$A$417,0))="","",Q149-INDEX($Q$2:$Q$417,MATCH($M149,$A$2:$A$417,0))),"")))),"")</f>
        <v/>
      </c>
      <c r="O149" s="16" t="n"/>
      <c r="P149" s="16" t="n"/>
      <c r="Q149" s="16" t="n"/>
      <c r="R149" s="16" t="n"/>
      <c r="S149" s="16" t="n"/>
      <c r="T149" s="16" t="n"/>
      <c r="U149" s="16" t="n"/>
      <c r="V149" s="16" t="n"/>
      <c r="W149" s="16" t="n"/>
      <c r="X149" s="16" t="n"/>
      <c r="Y149" s="20" t="n"/>
      <c r="Z149" s="20" t="n"/>
      <c r="AA149" s="16" t="n"/>
      <c r="AB149" s="21" t="inlineStr">
        <is>
          <t>head sweep mintag20: min_tag_count=20</t>
        </is>
      </c>
      <c r="AC149" s="21" t="n"/>
    </row>
    <row r="150" ht="28" customHeight="1">
      <c r="A150" s="2" t="inlineStr">
        <is>
          <t>R1.149</t>
        </is>
      </c>
      <c r="B150" s="3" t="n">
        <v>46254</v>
      </c>
      <c r="C150" s="2" t="inlineStr">
        <is>
          <t>sensitive</t>
        </is>
      </c>
      <c r="D150" s="2" t="inlineStr">
        <is>
          <t>tl17_base + head[posweight10]</t>
        </is>
      </c>
      <c r="E150" s="2" t="inlineStr">
        <is>
          <t>val100k</t>
        </is>
      </c>
      <c r="F150" s="4" t="inlineStr">
        <is>
          <t>T1</t>
        </is>
      </c>
      <c r="G150" s="5" t="n">
        <v>20000</v>
      </c>
      <c r="H150" s="6" t="n">
        <v>0.9923</v>
      </c>
      <c r="I150" s="6" t="n">
        <v>0.984</v>
      </c>
      <c r="J150" s="6" t="n">
        <v>0.9416</v>
      </c>
      <c r="K150" s="7">
        <f>IF(OR(L150="",L150=0),"",1000/L150)</f>
        <v/>
      </c>
      <c r="L150" s="8" t="n">
        <v>1.341</v>
      </c>
      <c r="M150" s="4" t="inlineStr">
        <is>
          <t>R1.119</t>
        </is>
      </c>
      <c r="N150" s="9">
        <f>IFERROR(IF(P150&lt;&gt;"",IF(INDEX($P$2:$P$417,MATCH($M150,$A$2:$A$417,0))="","",P150-INDEX($P$2:$P$417,MATCH($M150,$A$2:$A$417,0))),IF(H150&lt;&gt;"",IF(INDEX($H$2:$H$417,MATCH($M150,$A$2:$A$417,0))="","",H150-INDEX($H$2:$H$417,MATCH($M150,$A$2:$A$417,0))),IF(O150&lt;&gt;"",IF(INDEX($O$2:$O$417,MATCH($M150,$A$2:$A$417,0))="","",O150-INDEX($O$2:$O$417,MATCH($M150,$A$2:$A$417,0))),IF(Q150&lt;&gt;"",IF(INDEX($Q$2:$Q$417,MATCH($M150,$A$2:$A$417,0))="","",Q150-INDEX($Q$2:$Q$417,MATCH($M150,$A$2:$A$417,0))),"")))),"")</f>
        <v/>
      </c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10" t="n"/>
      <c r="Z150" s="10" t="n"/>
      <c r="AA150" s="6" t="n"/>
      <c r="AB150" s="11" t="inlineStr">
        <is>
          <t>head sweep posweight10: pos_weight=10.0</t>
        </is>
      </c>
      <c r="AC150" s="11" t="n"/>
    </row>
    <row r="151" ht="28" customHeight="1">
      <c r="A151" s="12" t="inlineStr">
        <is>
          <t>R1.150</t>
        </is>
      </c>
      <c r="B151" s="13" t="n">
        <v>46254</v>
      </c>
      <c r="C151" s="12" t="inlineStr">
        <is>
          <t>sensitive</t>
        </is>
      </c>
      <c r="D151" s="12" t="inlineStr">
        <is>
          <t>tl17_base + head[posweight50]</t>
        </is>
      </c>
      <c r="E151" s="12" t="inlineStr">
        <is>
          <t>val100k</t>
        </is>
      </c>
      <c r="F151" s="14" t="inlineStr">
        <is>
          <t>T1</t>
        </is>
      </c>
      <c r="G151" s="15" t="n">
        <v>20000</v>
      </c>
      <c r="H151" s="16" t="n">
        <v>0.9871</v>
      </c>
      <c r="I151" s="16" t="n">
        <v>0.9734</v>
      </c>
      <c r="J151" s="16" t="n">
        <v>0.9167999999999999</v>
      </c>
      <c r="K151" s="17">
        <f>IF(OR(L151="",L151=0),"",1000/L151)</f>
        <v/>
      </c>
      <c r="L151" s="18" t="n">
        <v>1.341</v>
      </c>
      <c r="M151" s="14" t="inlineStr">
        <is>
          <t>R1.119</t>
        </is>
      </c>
      <c r="N151" s="19">
        <f>IFERROR(IF(P151&lt;&gt;"",IF(INDEX($P$2:$P$417,MATCH($M151,$A$2:$A$417,0))="","",P151-INDEX($P$2:$P$417,MATCH($M151,$A$2:$A$417,0))),IF(H151&lt;&gt;"",IF(INDEX($H$2:$H$417,MATCH($M151,$A$2:$A$417,0))="","",H151-INDEX($H$2:$H$417,MATCH($M151,$A$2:$A$417,0))),IF(O151&lt;&gt;"",IF(INDEX($O$2:$O$417,MATCH($M151,$A$2:$A$417,0))="","",O151-INDEX($O$2:$O$417,MATCH($M151,$A$2:$A$417,0))),IF(Q151&lt;&gt;"",IF(INDEX($Q$2:$Q$417,MATCH($M151,$A$2:$A$417,0))="","",Q151-INDEX($Q$2:$Q$417,MATCH($M151,$A$2:$A$417,0))),"")))),"")</f>
        <v/>
      </c>
      <c r="O151" s="16" t="n"/>
      <c r="P151" s="16" t="n"/>
      <c r="Q151" s="16" t="n"/>
      <c r="R151" s="16" t="n"/>
      <c r="S151" s="16" t="n"/>
      <c r="T151" s="16" t="n"/>
      <c r="U151" s="16" t="n"/>
      <c r="V151" s="16" t="n"/>
      <c r="W151" s="16" t="n"/>
      <c r="X151" s="16" t="n"/>
      <c r="Y151" s="20" t="n"/>
      <c r="Z151" s="20" t="n"/>
      <c r="AA151" s="16" t="n"/>
      <c r="AB151" s="21" t="inlineStr">
        <is>
          <t>head sweep posweight50: pos_weight=50.0</t>
        </is>
      </c>
      <c r="AC151" s="21" t="n"/>
    </row>
    <row r="152" ht="28" customHeight="1">
      <c r="A152" s="2" t="inlineStr">
        <is>
          <t>R1.151</t>
        </is>
      </c>
      <c r="B152" s="3" t="n">
        <v>46254</v>
      </c>
      <c r="C152" s="2" t="inlineStr">
        <is>
          <t>sensitive</t>
        </is>
      </c>
      <c r="D152" s="2" t="inlineStr">
        <is>
          <t>tl17_base + head[read40k]</t>
        </is>
      </c>
      <c r="E152" s="2" t="inlineStr">
        <is>
          <t>val100k</t>
        </is>
      </c>
      <c r="F152" s="4" t="inlineStr">
        <is>
          <t>T1</t>
        </is>
      </c>
      <c r="G152" s="5" t="n">
        <v>40000</v>
      </c>
      <c r="H152" s="6" t="n">
        <v>0.9872</v>
      </c>
      <c r="I152" s="6" t="n">
        <v>0.9804</v>
      </c>
      <c r="J152" s="6" t="n">
        <v>0.9429</v>
      </c>
      <c r="K152" s="7">
        <f>IF(OR(L152="",L152=0),"",1000/L152)</f>
        <v/>
      </c>
      <c r="L152" s="8" t="n">
        <v>1.933</v>
      </c>
      <c r="M152" s="4" t="inlineStr">
        <is>
          <t>R1.119</t>
        </is>
      </c>
      <c r="N152" s="9">
        <f>IFERROR(IF(P152&lt;&gt;"",IF(INDEX($P$2:$P$417,MATCH($M152,$A$2:$A$417,0))="","",P152-INDEX($P$2:$P$417,MATCH($M152,$A$2:$A$417,0))),IF(H152&lt;&gt;"",IF(INDEX($H$2:$H$417,MATCH($M152,$A$2:$A$417,0))="","",H152-INDEX($H$2:$H$417,MATCH($M152,$A$2:$A$417,0))),IF(O152&lt;&gt;"",IF(INDEX($O$2:$O$417,MATCH($M152,$A$2:$A$417,0))="","",O152-INDEX($O$2:$O$417,MATCH($M152,$A$2:$A$417,0))),IF(Q152&lt;&gt;"",IF(INDEX($Q$2:$Q$417,MATCH($M152,$A$2:$A$417,0))="","",Q152-INDEX($Q$2:$Q$417,MATCH($M152,$A$2:$A$417,0))),"")))),"")</f>
        <v/>
      </c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10" t="n"/>
      <c r="Z152" s="10" t="n"/>
      <c r="AA152" s="6" t="n"/>
      <c r="AB152" s="11" t="inlineStr">
        <is>
          <t>head sweep read40k: max_chunks=20</t>
        </is>
      </c>
      <c r="AC152" s="11" t="n"/>
    </row>
    <row r="153" ht="28" customHeight="1">
      <c r="A153" s="12" t="inlineStr">
        <is>
          <t>R1.152</t>
        </is>
      </c>
      <c r="B153" s="13" t="n">
        <v>46254</v>
      </c>
      <c r="C153" s="12" t="inlineStr">
        <is>
          <t>sensitive</t>
        </is>
      </c>
      <c r="D153" s="12" t="inlineStr">
        <is>
          <t>tl17_base + head[thresh_pertag]</t>
        </is>
      </c>
      <c r="E153" s="12" t="inlineStr">
        <is>
          <t>val100k</t>
        </is>
      </c>
      <c r="F153" s="14" t="inlineStr">
        <is>
          <t>T1</t>
        </is>
      </c>
      <c r="G153" s="15" t="n">
        <v>20000</v>
      </c>
      <c r="H153" s="16" t="n">
        <v>0.9888</v>
      </c>
      <c r="I153" s="16" t="n">
        <v>0.9789</v>
      </c>
      <c r="J153" s="16" t="n">
        <v>0.9342</v>
      </c>
      <c r="K153" s="17">
        <f>IF(OR(L153="",L153=0),"",1000/L153)</f>
        <v/>
      </c>
      <c r="L153" s="18" t="n">
        <v>1.341</v>
      </c>
      <c r="M153" s="14" t="inlineStr">
        <is>
          <t>R1.119</t>
        </is>
      </c>
      <c r="N153" s="19">
        <f>IFERROR(IF(P153&lt;&gt;"",IF(INDEX($P$2:$P$417,MATCH($M153,$A$2:$A$417,0))="","",P153-INDEX($P$2:$P$417,MATCH($M153,$A$2:$A$417,0))),IF(H153&lt;&gt;"",IF(INDEX($H$2:$H$417,MATCH($M153,$A$2:$A$417,0))="","",H153-INDEX($H$2:$H$417,MATCH($M153,$A$2:$A$417,0))),IF(O153&lt;&gt;"",IF(INDEX($O$2:$O$417,MATCH($M153,$A$2:$A$417,0))="","",O153-INDEX($O$2:$O$417,MATCH($M153,$A$2:$A$417,0))),IF(Q153&lt;&gt;"",IF(INDEX($Q$2:$Q$417,MATCH($M153,$A$2:$A$417,0))="","",Q153-INDEX($Q$2:$Q$417,MATCH($M153,$A$2:$A$417,0))),"")))),"")</f>
        <v/>
      </c>
      <c r="O153" s="16" t="n"/>
      <c r="P153" s="16" t="n"/>
      <c r="Q153" s="16" t="n"/>
      <c r="R153" s="16" t="n"/>
      <c r="S153" s="16" t="n"/>
      <c r="T153" s="16" t="n"/>
      <c r="U153" s="16" t="n"/>
      <c r="V153" s="16" t="n"/>
      <c r="W153" s="16" t="n"/>
      <c r="X153" s="16" t="n"/>
      <c r="Y153" s="20" t="n"/>
      <c r="Z153" s="20" t="n"/>
      <c r="AA153" s="16" t="n"/>
      <c r="AB153" s="21" t="inlineStr">
        <is>
          <t>head sweep thresh_pertag: threshold=per_tag</t>
        </is>
      </c>
      <c r="AC153" s="21" t="n"/>
    </row>
    <row r="154" ht="28" customHeight="1">
      <c r="A154" s="2" t="inlineStr">
        <is>
          <t>R1.153</t>
        </is>
      </c>
      <c r="B154" s="3" t="n">
        <v>46254</v>
      </c>
      <c r="C154" s="2" t="inlineStr">
        <is>
          <t>sensitive</t>
        </is>
      </c>
      <c r="D154" s="2" t="inlineStr">
        <is>
          <t>tl17_base + head[wd1e-4]</t>
        </is>
      </c>
      <c r="E154" s="2" t="inlineStr">
        <is>
          <t>val100k</t>
        </is>
      </c>
      <c r="F154" s="4" t="inlineStr">
        <is>
          <t>T1</t>
        </is>
      </c>
      <c r="G154" s="5" t="n">
        <v>20000</v>
      </c>
      <c r="H154" s="6" t="n">
        <v>0.9873</v>
      </c>
      <c r="I154" s="6" t="n">
        <v>0.9810000000000001</v>
      </c>
      <c r="J154" s="6" t="n">
        <v>0.9457</v>
      </c>
      <c r="K154" s="7">
        <f>IF(OR(L154="",L154=0),"",1000/L154)</f>
        <v/>
      </c>
      <c r="L154" s="8" t="n">
        <v>1.341</v>
      </c>
      <c r="M154" s="4" t="inlineStr">
        <is>
          <t>R1.119</t>
        </is>
      </c>
      <c r="N154" s="9">
        <f>IFERROR(IF(P154&lt;&gt;"",IF(INDEX($P$2:$P$417,MATCH($M154,$A$2:$A$417,0))="","",P154-INDEX($P$2:$P$417,MATCH($M154,$A$2:$A$417,0))),IF(H154&lt;&gt;"",IF(INDEX($H$2:$H$417,MATCH($M154,$A$2:$A$417,0))="","",H154-INDEX($H$2:$H$417,MATCH($M154,$A$2:$A$417,0))),IF(O154&lt;&gt;"",IF(INDEX($O$2:$O$417,MATCH($M154,$A$2:$A$417,0))="","",O154-INDEX($O$2:$O$417,MATCH($M154,$A$2:$A$417,0))),IF(Q154&lt;&gt;"",IF(INDEX($Q$2:$Q$417,MATCH($M154,$A$2:$A$417,0))="","",Q154-INDEX($Q$2:$Q$417,MATCH($M154,$A$2:$A$417,0))),"")))),"")</f>
        <v/>
      </c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10" t="n"/>
      <c r="Z154" s="10" t="n"/>
      <c r="AA154" s="6" t="n"/>
      <c r="AB154" s="11" t="inlineStr">
        <is>
          <t>head sweep wd1e-4: weight_decay=0.0001</t>
        </is>
      </c>
      <c r="AC154" s="11" t="n"/>
    </row>
    <row r="155" ht="28" customHeight="1">
      <c r="A155" s="12" t="inlineStr">
        <is>
          <t>R1.154</t>
        </is>
      </c>
      <c r="B155" s="13" t="n">
        <v>46254</v>
      </c>
      <c r="C155" s="12" t="inlineStr">
        <is>
          <t>sensitive</t>
        </is>
      </c>
      <c r="D155" s="12" t="inlineStr">
        <is>
          <t>tl17_vocab + head[combo_long_tlvocab]</t>
        </is>
      </c>
      <c r="E155" s="12" t="inlineStr">
        <is>
          <t>val100k</t>
        </is>
      </c>
      <c r="F155" s="14" t="inlineStr">
        <is>
          <t>T1</t>
        </is>
      </c>
      <c r="G155" s="15" t="n">
        <v>20000</v>
      </c>
      <c r="H155" s="16" t="n">
        <v>0.9962</v>
      </c>
      <c r="I155" s="16" t="n">
        <v>0.9938</v>
      </c>
      <c r="J155" s="16" t="n">
        <v>0.9779</v>
      </c>
      <c r="K155" s="17">
        <f>IF(OR(L155="",L155=0),"",1000/L155)</f>
        <v/>
      </c>
      <c r="L155" s="18" t="n">
        <v>1.376</v>
      </c>
      <c r="M155" s="14" t="inlineStr">
        <is>
          <t>tl17_vocab + head[baseline]</t>
        </is>
      </c>
      <c r="N155" s="19">
        <f>IFERROR(IF(P155&lt;&gt;"",IF(INDEX($P$2:$P$417,MATCH($M155,$A$2:$A$417,0))="","",P155-INDEX($P$2:$P$417,MATCH($M155,$A$2:$A$417,0))),IF(H155&lt;&gt;"",IF(INDEX($H$2:$H$417,MATCH($M155,$A$2:$A$417,0))="","",H155-INDEX($H$2:$H$417,MATCH($M155,$A$2:$A$417,0))),IF(O155&lt;&gt;"",IF(INDEX($O$2:$O$417,MATCH($M155,$A$2:$A$417,0))="","",O155-INDEX($O$2:$O$417,MATCH($M155,$A$2:$A$417,0))),IF(Q155&lt;&gt;"",IF(INDEX($Q$2:$Q$417,MATCH($M155,$A$2:$A$417,0))="","",Q155-INDEX($Q$2:$Q$417,MATCH($M155,$A$2:$A$417,0))),"")))),"")</f>
        <v/>
      </c>
      <c r="O155" s="16" t="n"/>
      <c r="P155" s="16" t="n"/>
      <c r="Q155" s="16" t="n"/>
      <c r="R155" s="16" t="n"/>
      <c r="S155" s="16" t="n"/>
      <c r="T155" s="16" t="n"/>
      <c r="U155" s="16" t="n"/>
      <c r="V155" s="16" t="n"/>
      <c r="W155" s="16" t="n"/>
      <c r="X155" s="16" t="n"/>
      <c r="Y155" s="20" t="n"/>
      <c r="Z155" s="20" t="n"/>
      <c r="AA155" s="16" t="n"/>
      <c r="AB155" s="21" t="inlineStr">
        <is>
          <t>head sweep combo_long_tlvocab: features=chunk, batch_size=1024, max_epochs=120, patience=10, encoder=tl17_vocab</t>
        </is>
      </c>
      <c r="AC155" s="21" t="n"/>
    </row>
    <row r="156" ht="28" customHeight="1">
      <c r="A156" s="2" t="inlineStr">
        <is>
          <t>R1.155</t>
        </is>
      </c>
      <c r="B156" s="3" t="n">
        <v>46254</v>
      </c>
      <c r="C156" s="2" t="inlineStr">
        <is>
          <t>sensitive</t>
        </is>
      </c>
      <c r="D156" s="2" t="inlineStr">
        <is>
          <t>tl17_vocab + head[enc_tl17_vocab]</t>
        </is>
      </c>
      <c r="E156" s="2" t="inlineStr">
        <is>
          <t>val100k</t>
        </is>
      </c>
      <c r="F156" s="4" t="inlineStr">
        <is>
          <t>T1</t>
        </is>
      </c>
      <c r="G156" s="5" t="n">
        <v>20000</v>
      </c>
      <c r="H156" s="6" t="n">
        <v>0.9871</v>
      </c>
      <c r="I156" s="6" t="n">
        <v>0.9806</v>
      </c>
      <c r="J156" s="6" t="n">
        <v>0.9429</v>
      </c>
      <c r="K156" s="7">
        <f>IF(OR(L156="",L156=0),"",1000/L156)</f>
        <v/>
      </c>
      <c r="L156" s="8" t="n">
        <v>1.376</v>
      </c>
      <c r="M156" s="4" t="inlineStr">
        <is>
          <t>tl17_vocab + head[baseline]</t>
        </is>
      </c>
      <c r="N156" s="9">
        <f>IFERROR(IF(P156&lt;&gt;"",IF(INDEX($P$2:$P$417,MATCH($M156,$A$2:$A$417,0))="","",P156-INDEX($P$2:$P$417,MATCH($M156,$A$2:$A$417,0))),IF(H156&lt;&gt;"",IF(INDEX($H$2:$H$417,MATCH($M156,$A$2:$A$417,0))="","",H156-INDEX($H$2:$H$417,MATCH($M156,$A$2:$A$417,0))),IF(O156&lt;&gt;"",IF(INDEX($O$2:$O$417,MATCH($M156,$A$2:$A$417,0))="","",O156-INDEX($O$2:$O$417,MATCH($M156,$A$2:$A$417,0))),IF(Q156&lt;&gt;"",IF(INDEX($Q$2:$Q$417,MATCH($M156,$A$2:$A$417,0))="","",Q156-INDEX($Q$2:$Q$417,MATCH($M156,$A$2:$A$417,0))),"")))),"")</f>
        <v/>
      </c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10" t="n"/>
      <c r="Z156" s="10" t="n"/>
      <c r="AA156" s="6" t="n"/>
      <c r="AB156" s="11" t="inlineStr">
        <is>
          <t>head sweep enc_tl17_vocab: encoder=tl17_vocab</t>
        </is>
      </c>
      <c r="AC156" s="11" t="n"/>
    </row>
    <row r="157" ht="28" customHeight="1">
      <c r="A157" s="12" t="inlineStr">
        <is>
          <t>R1.156</t>
        </is>
      </c>
      <c r="B157" s="13" t="n">
        <v>46254</v>
      </c>
      <c r="C157" s="12" t="inlineStr">
        <is>
          <t>sensitive</t>
        </is>
      </c>
      <c r="D157" s="12" t="inlineStr">
        <is>
          <t>tl17_base + head[c_100k]</t>
        </is>
      </c>
      <c r="E157" s="12" t="inlineStr">
        <is>
          <t>holdout20k</t>
        </is>
      </c>
      <c r="F157" s="14" t="inlineStr">
        <is>
          <t>T1</t>
        </is>
      </c>
      <c r="G157" s="15" t="n">
        <v>20000</v>
      </c>
      <c r="H157" s="16" t="n">
        <v>0.9968</v>
      </c>
      <c r="I157" s="16" t="n">
        <v>0.99425</v>
      </c>
      <c r="J157" s="16" t="n">
        <v>0.9773500000000001</v>
      </c>
      <c r="K157" s="17">
        <f>IF(OR(L157="",L157=0),"",1000/L157)</f>
        <v/>
      </c>
      <c r="L157" s="18" t="n">
        <v>1.341</v>
      </c>
      <c r="M157" s="14" t="n"/>
      <c r="N157" s="19">
        <f>IFERROR(IF(P157&lt;&gt;"",IF(INDEX($P$2:$P$417,MATCH($M157,$A$2:$A$417,0))="","",P157-INDEX($P$2:$P$417,MATCH($M157,$A$2:$A$417,0))),IF(H157&lt;&gt;"",IF(INDEX($H$2:$H$417,MATCH($M157,$A$2:$A$417,0))="","",H157-INDEX($H$2:$H$417,MATCH($M157,$A$2:$A$417,0))),IF(O157&lt;&gt;"",IF(INDEX($O$2:$O$417,MATCH($M157,$A$2:$A$417,0))="","",O157-INDEX($O$2:$O$417,MATCH($M157,$A$2:$A$417,0))),IF(Q157&lt;&gt;"",IF(INDEX($Q$2:$Q$417,MATCH($M157,$A$2:$A$417,0))="","",Q157-INDEX($Q$2:$Q$417,MATCH($M157,$A$2:$A$417,0))),"")))),"")</f>
        <v/>
      </c>
      <c r="O157" s="16" t="n"/>
      <c r="P157" s="16" t="n"/>
      <c r="Q157" s="16" t="n"/>
      <c r="R157" s="16" t="n"/>
      <c r="S157" s="16" t="n"/>
      <c r="T157" s="16" t="n"/>
      <c r="U157" s="16" t="n"/>
      <c r="V157" s="16" t="n"/>
      <c r="W157" s="16" t="n"/>
      <c r="X157" s="16" t="n"/>
      <c r="Y157" s="20" t="n"/>
      <c r="Z157" s="20" t="n"/>
      <c r="AA157" s="16" t="n"/>
      <c r="AB157" s="21" t="inlineStr">
        <is>
          <t>corpus mix train100k; 72574 documents kept</t>
        </is>
      </c>
      <c r="AC157" s="21" t="n"/>
    </row>
    <row r="158" ht="28" customHeight="1">
      <c r="A158" s="2" t="inlineStr">
        <is>
          <t>R1.157</t>
        </is>
      </c>
      <c r="B158" s="3" t="n">
        <v>46254</v>
      </c>
      <c r="C158" s="2" t="inlineStr">
        <is>
          <t>sensitive</t>
        </is>
      </c>
      <c r="D158" s="2" t="inlineStr">
        <is>
          <t>tl17_base + head[c_100k_datax]</t>
        </is>
      </c>
      <c r="E158" s="2" t="inlineStr">
        <is>
          <t>holdout20k</t>
        </is>
      </c>
      <c r="F158" s="4" t="inlineStr">
        <is>
          <t>T1</t>
        </is>
      </c>
      <c r="G158" s="5" t="n">
        <v>20000</v>
      </c>
      <c r="H158" s="6" t="n">
        <v>0.9973</v>
      </c>
      <c r="I158" s="6" t="n">
        <v>0.9946</v>
      </c>
      <c r="J158" s="6" t="n">
        <v>0.97655</v>
      </c>
      <c r="K158" s="7">
        <f>IF(OR(L158="",L158=0),"",1000/L158)</f>
        <v/>
      </c>
      <c r="L158" s="8" t="n">
        <v>1.341</v>
      </c>
      <c r="M158" s="4" t="inlineStr">
        <is>
          <t>R1.156</t>
        </is>
      </c>
      <c r="N158" s="9">
        <f>IFERROR(IF(P158&lt;&gt;"",IF(INDEX($P$2:$P$417,MATCH($M158,$A$2:$A$417,0))="","",P158-INDEX($P$2:$P$417,MATCH($M158,$A$2:$A$417,0))),IF(H158&lt;&gt;"",IF(INDEX($H$2:$H$417,MATCH($M158,$A$2:$A$417,0))="","",H158-INDEX($H$2:$H$417,MATCH($M158,$A$2:$A$417,0))),IF(O158&lt;&gt;"",IF(INDEX($O$2:$O$417,MATCH($M158,$A$2:$A$417,0))="","",O158-INDEX($O$2:$O$417,MATCH($M158,$A$2:$A$417,0))),IF(Q158&lt;&gt;"",IF(INDEX($Q$2:$Q$417,MATCH($M158,$A$2:$A$417,0))="","",Q158-INDEX($Q$2:$Q$417,MATCH($M158,$A$2:$A$417,0))),"")))),"")</f>
        <v/>
      </c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10" t="n"/>
      <c r="Z158" s="10" t="n"/>
      <c r="AA158" s="6" t="n"/>
      <c r="AB158" s="11" t="inlineStr">
        <is>
          <t>corpus mix train100k+datax; 83925 documents kept</t>
        </is>
      </c>
      <c r="AC158" s="11" t="n"/>
    </row>
    <row r="159" ht="28" customHeight="1">
      <c r="A159" s="12" t="inlineStr">
        <is>
          <t>R1.158</t>
        </is>
      </c>
      <c r="B159" s="13" t="n">
        <v>46254</v>
      </c>
      <c r="C159" s="12" t="inlineStr">
        <is>
          <t>sensitive</t>
        </is>
      </c>
      <c r="D159" s="12" t="inlineStr">
        <is>
          <t>tl17_base + head[c_100k_gov]</t>
        </is>
      </c>
      <c r="E159" s="12" t="inlineStr">
        <is>
          <t>holdout20k</t>
        </is>
      </c>
      <c r="F159" s="14" t="inlineStr">
        <is>
          <t>T1</t>
        </is>
      </c>
      <c r="G159" s="15" t="n">
        <v>20000</v>
      </c>
      <c r="H159" s="16" t="n">
        <v>0.9961749043726094</v>
      </c>
      <c r="I159" s="16" t="n">
        <v>0.9927748193704842</v>
      </c>
      <c r="J159" s="16" t="n">
        <v>0.973174329358234</v>
      </c>
      <c r="K159" s="17">
        <f>IF(OR(L159="",L159=0),"",1000/L159)</f>
        <v/>
      </c>
      <c r="L159" s="18" t="n">
        <v>1.341</v>
      </c>
      <c r="M159" s="14" t="inlineStr">
        <is>
          <t>R1.156</t>
        </is>
      </c>
      <c r="N159" s="19">
        <f>IFERROR(IF(P159&lt;&gt;"",IF(INDEX($P$2:$P$417,MATCH($M159,$A$2:$A$417,0))="","",P159-INDEX($P$2:$P$417,MATCH($M159,$A$2:$A$417,0))),IF(H159&lt;&gt;"",IF(INDEX($H$2:$H$417,MATCH($M159,$A$2:$A$417,0))="","",H159-INDEX($H$2:$H$417,MATCH($M159,$A$2:$A$417,0))),IF(O159&lt;&gt;"",IF(INDEX($O$2:$O$417,MATCH($M159,$A$2:$A$417,0))="","",O159-INDEX($O$2:$O$417,MATCH($M159,$A$2:$A$417,0))),IF(Q159&lt;&gt;"",IF(INDEX($Q$2:$Q$417,MATCH($M159,$A$2:$A$417,0))="","",Q159-INDEX($Q$2:$Q$417,MATCH($M159,$A$2:$A$417,0))),"")))),"")</f>
        <v/>
      </c>
      <c r="O159" s="16" t="n"/>
      <c r="P159" s="16" t="n"/>
      <c r="Q159" s="16" t="n"/>
      <c r="R159" s="16" t="n"/>
      <c r="S159" s="16" t="n"/>
      <c r="T159" s="16" t="n"/>
      <c r="U159" s="16" t="n"/>
      <c r="V159" s="16" t="n"/>
      <c r="W159" s="16" t="n"/>
      <c r="X159" s="16" t="n"/>
      <c r="Y159" s="20" t="n"/>
      <c r="Z159" s="20" t="n"/>
      <c r="AA159" s="16" t="n"/>
      <c r="AB159" s="21" t="inlineStr">
        <is>
          <t>corpus mix train100k+govdocs2_80; 83657 documents kept</t>
        </is>
      </c>
      <c r="AC159" s="21" t="n"/>
    </row>
    <row r="160" ht="28" customHeight="1">
      <c r="A160" s="2" t="inlineStr">
        <is>
          <t>R1.159</t>
        </is>
      </c>
      <c r="B160" s="3" t="n">
        <v>46254</v>
      </c>
      <c r="C160" s="2" t="inlineStr">
        <is>
          <t>sensitive</t>
        </is>
      </c>
      <c r="D160" s="2" t="inlineStr">
        <is>
          <t>tl17_base + head[c_all]</t>
        </is>
      </c>
      <c r="E160" s="2" t="inlineStr">
        <is>
          <t>holdout20k</t>
        </is>
      </c>
      <c r="F160" s="4" t="inlineStr">
        <is>
          <t>T1</t>
        </is>
      </c>
      <c r="G160" s="5" t="n">
        <v>20000</v>
      </c>
      <c r="H160" s="6" t="n">
        <v>0.99675</v>
      </c>
      <c r="I160" s="6" t="n">
        <v>0.99405</v>
      </c>
      <c r="J160" s="6" t="n">
        <v>0.97405</v>
      </c>
      <c r="K160" s="7">
        <f>IF(OR(L160="",L160=0),"",1000/L160)</f>
        <v/>
      </c>
      <c r="L160" s="8" t="n">
        <v>1.341</v>
      </c>
      <c r="M160" s="4" t="inlineStr">
        <is>
          <t>R1.156</t>
        </is>
      </c>
      <c r="N160" s="9">
        <f>IFERROR(IF(P160&lt;&gt;"",IF(INDEX($P$2:$P$417,MATCH($M160,$A$2:$A$417,0))="","",P160-INDEX($P$2:$P$417,MATCH($M160,$A$2:$A$417,0))),IF(H160&lt;&gt;"",IF(INDEX($H$2:$H$417,MATCH($M160,$A$2:$A$417,0))="","",H160-INDEX($H$2:$H$417,MATCH($M160,$A$2:$A$417,0))),IF(O160&lt;&gt;"",IF(INDEX($O$2:$O$417,MATCH($M160,$A$2:$A$417,0))="","",O160-INDEX($O$2:$O$417,MATCH($M160,$A$2:$A$417,0))),IF(Q160&lt;&gt;"",IF(INDEX($Q$2:$Q$417,MATCH($M160,$A$2:$A$417,0))="","",Q160-INDEX($Q$2:$Q$417,MATCH($M160,$A$2:$A$417,0))),"")))),"")</f>
        <v/>
      </c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10" t="n"/>
      <c r="Z160" s="10" t="n"/>
      <c r="AA160" s="6" t="n"/>
      <c r="AB160" s="11" t="inlineStr">
        <is>
          <t>corpus mix train100k+govdocs2_80+datax; 95008 documents kept</t>
        </is>
      </c>
      <c r="AC160" s="11" t="n"/>
    </row>
    <row r="161" ht="28" customHeight="1">
      <c r="A161" s="12" t="inlineStr">
        <is>
          <t>R1.160</t>
        </is>
      </c>
      <c r="B161" s="13" t="n">
        <v>46254</v>
      </c>
      <c r="C161" s="12" t="inlineStr">
        <is>
          <t>sensitive</t>
        </is>
      </c>
      <c r="D161" s="12" t="inlineStr">
        <is>
          <t>tl17_base + head[c_all_doc]</t>
        </is>
      </c>
      <c r="E161" s="12" t="inlineStr">
        <is>
          <t>holdout20k</t>
        </is>
      </c>
      <c r="F161" s="14" t="inlineStr">
        <is>
          <t>T1</t>
        </is>
      </c>
      <c r="G161" s="15" t="n">
        <v>20000</v>
      </c>
      <c r="H161" s="16" t="n">
        <v>0.9964</v>
      </c>
      <c r="I161" s="16" t="n">
        <v>0.99335</v>
      </c>
      <c r="J161" s="16" t="n">
        <v>0.9691</v>
      </c>
      <c r="K161" s="17">
        <f>IF(OR(L161="",L161=0),"",1000/L161)</f>
        <v/>
      </c>
      <c r="L161" s="18" t="n">
        <v>1.341</v>
      </c>
      <c r="M161" s="14" t="inlineStr">
        <is>
          <t>R1.156</t>
        </is>
      </c>
      <c r="N161" s="19">
        <f>IFERROR(IF(P161&lt;&gt;"",IF(INDEX($P$2:$P$417,MATCH($M161,$A$2:$A$417,0))="","",P161-INDEX($P$2:$P$417,MATCH($M161,$A$2:$A$417,0))),IF(H161&lt;&gt;"",IF(INDEX($H$2:$H$417,MATCH($M161,$A$2:$A$417,0))="","",H161-INDEX($H$2:$H$417,MATCH($M161,$A$2:$A$417,0))),IF(O161&lt;&gt;"",IF(INDEX($O$2:$O$417,MATCH($M161,$A$2:$A$417,0))="","",O161-INDEX($O$2:$O$417,MATCH($M161,$A$2:$A$417,0))),IF(Q161&lt;&gt;"",IF(INDEX($Q$2:$Q$417,MATCH($M161,$A$2:$A$417,0))="","",Q161-INDEX($Q$2:$Q$417,MATCH($M161,$A$2:$A$417,0))),"")))),"")</f>
        <v/>
      </c>
      <c r="O161" s="16" t="n"/>
      <c r="P161" s="16" t="n"/>
      <c r="Q161" s="16" t="n"/>
      <c r="R161" s="16" t="n"/>
      <c r="S161" s="16" t="n"/>
      <c r="T161" s="16" t="n"/>
      <c r="U161" s="16" t="n"/>
      <c r="V161" s="16" t="n"/>
      <c r="W161" s="16" t="n"/>
      <c r="X161" s="16" t="n"/>
      <c r="Y161" s="20" t="n"/>
      <c r="Z161" s="20" t="n"/>
      <c r="AA161" s="16" t="n"/>
      <c r="AB161" s="21" t="inlineStr">
        <is>
          <t>corpus mix train100k+govdocs2_80+datax, features=doc; 95008 documents kept</t>
        </is>
      </c>
      <c r="AC161" s="21" t="n"/>
    </row>
    <row r="162" ht="28" customHeight="1">
      <c r="A162" s="2" t="inlineStr">
        <is>
          <t>R1.161</t>
        </is>
      </c>
      <c r="B162" s="3" t="n">
        <v>46254</v>
      </c>
      <c r="C162" s="2" t="inlineStr">
        <is>
          <t>sensitive</t>
        </is>
      </c>
      <c r="D162" s="2" t="inlineStr">
        <is>
          <t>tl17_base + head[c_all_dupkeep]</t>
        </is>
      </c>
      <c r="E162" s="2" t="inlineStr">
        <is>
          <t>holdout20k</t>
        </is>
      </c>
      <c r="F162" s="4" t="inlineStr">
        <is>
          <t>T1</t>
        </is>
      </c>
      <c r="G162" s="5" t="n">
        <v>20000</v>
      </c>
      <c r="H162" s="6" t="n">
        <v>0.9967</v>
      </c>
      <c r="I162" s="6" t="n">
        <v>0.9937</v>
      </c>
      <c r="J162" s="6" t="n">
        <v>0.9726</v>
      </c>
      <c r="K162" s="7">
        <f>IF(OR(L162="",L162=0),"",1000/L162)</f>
        <v/>
      </c>
      <c r="L162" s="8" t="n">
        <v>1.341</v>
      </c>
      <c r="M162" s="4" t="inlineStr">
        <is>
          <t>R1.156</t>
        </is>
      </c>
      <c r="N162" s="9">
        <f>IFERROR(IF(P162&lt;&gt;"",IF(INDEX($P$2:$P$417,MATCH($M162,$A$2:$A$417,0))="","",P162-INDEX($P$2:$P$417,MATCH($M162,$A$2:$A$417,0))),IF(H162&lt;&gt;"",IF(INDEX($H$2:$H$417,MATCH($M162,$A$2:$A$417,0))="","",H162-INDEX($H$2:$H$417,MATCH($M162,$A$2:$A$417,0))),IF(O162&lt;&gt;"",IF(INDEX($O$2:$O$417,MATCH($M162,$A$2:$A$417,0))="","",O162-INDEX($O$2:$O$417,MATCH($M162,$A$2:$A$417,0))),IF(Q162&lt;&gt;"",IF(INDEX($Q$2:$Q$417,MATCH($M162,$A$2:$A$417,0))="","",Q162-INDEX($Q$2:$Q$417,MATCH($M162,$A$2:$A$417,0))),"")))),"")</f>
        <v/>
      </c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10" t="n"/>
      <c r="Z162" s="10" t="n"/>
      <c r="AA162" s="6" t="n"/>
      <c r="AB162" s="11" t="inlineStr">
        <is>
          <t>corpus mix train100k+govdocs2_80+datax, dedupe_internal=False; 105812 documents kept</t>
        </is>
      </c>
      <c r="AC162" s="11" t="n"/>
    </row>
    <row r="163" ht="28" customHeight="1">
      <c r="A163" s="12" t="inlineStr">
        <is>
          <t>R1.162</t>
        </is>
      </c>
      <c r="B163" s="13" t="n">
        <v>46254</v>
      </c>
      <c r="C163" s="12" t="inlineStr">
        <is>
          <t>sensitive</t>
        </is>
      </c>
      <c r="D163" s="12" t="inlineStr">
        <is>
          <t>tl17_base + head[c_all_nonegs]</t>
        </is>
      </c>
      <c r="E163" s="12" t="inlineStr">
        <is>
          <t>holdout20k</t>
        </is>
      </c>
      <c r="F163" s="14" t="inlineStr">
        <is>
          <t>T1</t>
        </is>
      </c>
      <c r="G163" s="15" t="n">
        <v>20000</v>
      </c>
      <c r="H163" s="16" t="n">
        <v>0.99655</v>
      </c>
      <c r="I163" s="16" t="n">
        <v>0.99385</v>
      </c>
      <c r="J163" s="16" t="n">
        <v>0.97695</v>
      </c>
      <c r="K163" s="17">
        <f>IF(OR(L163="",L163=0),"",1000/L163)</f>
        <v/>
      </c>
      <c r="L163" s="18" t="n">
        <v>1.341</v>
      </c>
      <c r="M163" s="14" t="inlineStr">
        <is>
          <t>R1.156</t>
        </is>
      </c>
      <c r="N163" s="19">
        <f>IFERROR(IF(P163&lt;&gt;"",IF(INDEX($P$2:$P$417,MATCH($M163,$A$2:$A$417,0))="","",P163-INDEX($P$2:$P$417,MATCH($M163,$A$2:$A$417,0))),IF(H163&lt;&gt;"",IF(INDEX($H$2:$H$417,MATCH($M163,$A$2:$A$417,0))="","",H163-INDEX($H$2:$H$417,MATCH($M163,$A$2:$A$417,0))),IF(O163&lt;&gt;"",IF(INDEX($O$2:$O$417,MATCH($M163,$A$2:$A$417,0))="","",O163-INDEX($O$2:$O$417,MATCH($M163,$A$2:$A$417,0))),IF(Q163&lt;&gt;"",IF(INDEX($Q$2:$Q$417,MATCH($M163,$A$2:$A$417,0))="","",Q163-INDEX($Q$2:$Q$417,MATCH($M163,$A$2:$A$417,0))),"")))),"")</f>
        <v/>
      </c>
      <c r="O163" s="16" t="n"/>
      <c r="P163" s="16" t="n"/>
      <c r="Q163" s="16" t="n"/>
      <c r="R163" s="16" t="n"/>
      <c r="S163" s="16" t="n"/>
      <c r="T163" s="16" t="n"/>
      <c r="U163" s="16" t="n"/>
      <c r="V163" s="16" t="n"/>
      <c r="W163" s="16" t="n"/>
      <c r="X163" s="16" t="n"/>
      <c r="Y163" s="20" t="n"/>
      <c r="Z163" s="20" t="n"/>
      <c r="AA163" s="16" t="n"/>
      <c r="AB163" s="21" t="inlineStr">
        <is>
          <t>corpus mix train100k+govdocs2_80+datax, drop_empty_gold=True; 78603 documents kept</t>
        </is>
      </c>
      <c r="AC163" s="21" t="n"/>
    </row>
    <row r="164" ht="28" customHeight="1">
      <c r="A164" s="2" t="inlineStr">
        <is>
          <t>R1.163</t>
        </is>
      </c>
      <c r="B164" s="3" t="n">
        <v>46254</v>
      </c>
      <c r="C164" s="2" t="inlineStr">
        <is>
          <t>sensitive</t>
        </is>
      </c>
      <c r="D164" s="2" t="inlineStr">
        <is>
          <t>tl17_base + head[c_all_pertag]</t>
        </is>
      </c>
      <c r="E164" s="2" t="inlineStr">
        <is>
          <t>holdout20k</t>
        </is>
      </c>
      <c r="F164" s="4" t="inlineStr">
        <is>
          <t>T1</t>
        </is>
      </c>
      <c r="G164" s="5" t="n">
        <v>20000</v>
      </c>
      <c r="H164" s="6" t="n">
        <v>0.99725</v>
      </c>
      <c r="I164" s="6" t="n">
        <v>0.9944</v>
      </c>
      <c r="J164" s="6" t="n">
        <v>0.974</v>
      </c>
      <c r="K164" s="7">
        <f>IF(OR(L164="",L164=0),"",1000/L164)</f>
        <v/>
      </c>
      <c r="L164" s="8" t="n">
        <v>1.341</v>
      </c>
      <c r="M164" s="4" t="inlineStr">
        <is>
          <t>R1.156</t>
        </is>
      </c>
      <c r="N164" s="9">
        <f>IFERROR(IF(P164&lt;&gt;"",IF(INDEX($P$2:$P$417,MATCH($M164,$A$2:$A$417,0))="","",P164-INDEX($P$2:$P$417,MATCH($M164,$A$2:$A$417,0))),IF(H164&lt;&gt;"",IF(INDEX($H$2:$H$417,MATCH($M164,$A$2:$A$417,0))="","",H164-INDEX($H$2:$H$417,MATCH($M164,$A$2:$A$417,0))),IF(O164&lt;&gt;"",IF(INDEX($O$2:$O$417,MATCH($M164,$A$2:$A$417,0))="","",O164-INDEX($O$2:$O$417,MATCH($M164,$A$2:$A$417,0))),IF(Q164&lt;&gt;"",IF(INDEX($Q$2:$Q$417,MATCH($M164,$A$2:$A$417,0))="","",Q164-INDEX($Q$2:$Q$417,MATCH($M164,$A$2:$A$417,0))),"")))),"")</f>
        <v/>
      </c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10" t="n"/>
      <c r="Z164" s="10" t="n"/>
      <c r="AA164" s="6" t="n"/>
      <c r="AB164" s="11" t="inlineStr">
        <is>
          <t>corpus mix train100k+govdocs2_80+datax, threshold=per_tag; 95008 documents kept</t>
        </is>
      </c>
      <c r="AC164" s="11" t="n"/>
    </row>
    <row r="165" ht="28" customHeight="1">
      <c r="A165" s="12" t="inlineStr">
        <is>
          <t>R1.164</t>
        </is>
      </c>
      <c r="B165" s="13" t="n">
        <v>46254</v>
      </c>
      <c r="C165" s="12" t="inlineStr">
        <is>
          <t>sensitive</t>
        </is>
      </c>
      <c r="D165" s="12" t="inlineStr">
        <is>
          <t>tl17_base + head[c_all_w0.5]</t>
        </is>
      </c>
      <c r="E165" s="12" t="inlineStr">
        <is>
          <t>holdout20k</t>
        </is>
      </c>
      <c r="F165" s="14" t="inlineStr">
        <is>
          <t>T1</t>
        </is>
      </c>
      <c r="G165" s="15" t="n">
        <v>20000</v>
      </c>
      <c r="H165" s="16" t="n">
        <v>0.99695</v>
      </c>
      <c r="I165" s="16" t="n">
        <v>0.99385</v>
      </c>
      <c r="J165" s="16" t="n">
        <v>0.97575</v>
      </c>
      <c r="K165" s="17">
        <f>IF(OR(L165="",L165=0),"",1000/L165)</f>
        <v/>
      </c>
      <c r="L165" s="18" t="n">
        <v>1.341</v>
      </c>
      <c r="M165" s="14" t="inlineStr">
        <is>
          <t>R1.156</t>
        </is>
      </c>
      <c r="N165" s="19">
        <f>IFERROR(IF(P165&lt;&gt;"",IF(INDEX($P$2:$P$417,MATCH($M165,$A$2:$A$417,0))="","",P165-INDEX($P$2:$P$417,MATCH($M165,$A$2:$A$417,0))),IF(H165&lt;&gt;"",IF(INDEX($H$2:$H$417,MATCH($M165,$A$2:$A$417,0))="","",H165-INDEX($H$2:$H$417,MATCH($M165,$A$2:$A$417,0))),IF(O165&lt;&gt;"",IF(INDEX($O$2:$O$417,MATCH($M165,$A$2:$A$417,0))="","",O165-INDEX($O$2:$O$417,MATCH($M165,$A$2:$A$417,0))),IF(Q165&lt;&gt;"",IF(INDEX($Q$2:$Q$417,MATCH($M165,$A$2:$A$417,0))="","",Q165-INDEX($Q$2:$Q$417,MATCH($M165,$A$2:$A$417,0))),"")))),"")</f>
        <v/>
      </c>
      <c r="O165" s="16" t="n"/>
      <c r="P165" s="16" t="n"/>
      <c r="Q165" s="16" t="n"/>
      <c r="R165" s="16" t="n"/>
      <c r="S165" s="16" t="n"/>
      <c r="T165" s="16" t="n"/>
      <c r="U165" s="16" t="n"/>
      <c r="V165" s="16" t="n"/>
      <c r="W165" s="16" t="n"/>
      <c r="X165" s="16" t="n"/>
      <c r="Y165" s="20" t="n"/>
      <c r="Z165" s="20" t="n"/>
      <c r="AA165" s="16" t="n"/>
      <c r="AB165" s="21" t="inlineStr">
        <is>
          <t>corpus mix train100k+govdocs2_80+datax, extra_weight=0.5; 95008 documents kept</t>
        </is>
      </c>
      <c r="AC165" s="21" t="n"/>
    </row>
    <row r="166" ht="28" customHeight="1">
      <c r="A166" s="2" t="inlineStr">
        <is>
          <t>R1.165</t>
        </is>
      </c>
      <c r="B166" s="3" t="n">
        <v>46254</v>
      </c>
      <c r="C166" s="2" t="inlineStr">
        <is>
          <t>sensitive</t>
        </is>
      </c>
      <c r="D166" s="2" t="inlineStr">
        <is>
          <t>tl17_base + head[c_all_w2]</t>
        </is>
      </c>
      <c r="E166" s="2" t="inlineStr">
        <is>
          <t>holdout20k</t>
        </is>
      </c>
      <c r="F166" s="4" t="inlineStr">
        <is>
          <t>T1</t>
        </is>
      </c>
      <c r="G166" s="5" t="n">
        <v>20000</v>
      </c>
      <c r="H166" s="6" t="n">
        <v>0.9964499999999999</v>
      </c>
      <c r="I166" s="6" t="n">
        <v>0.99205</v>
      </c>
      <c r="J166" s="6" t="n">
        <v>0.96935</v>
      </c>
      <c r="K166" s="7">
        <f>IF(OR(L166="",L166=0),"",1000/L166)</f>
        <v/>
      </c>
      <c r="L166" s="8" t="n">
        <v>1.341</v>
      </c>
      <c r="M166" s="4" t="inlineStr">
        <is>
          <t>R1.156</t>
        </is>
      </c>
      <c r="N166" s="9">
        <f>IFERROR(IF(P166&lt;&gt;"",IF(INDEX($P$2:$P$417,MATCH($M166,$A$2:$A$417,0))="","",P166-INDEX($P$2:$P$417,MATCH($M166,$A$2:$A$417,0))),IF(H166&lt;&gt;"",IF(INDEX($H$2:$H$417,MATCH($M166,$A$2:$A$417,0))="","",H166-INDEX($H$2:$H$417,MATCH($M166,$A$2:$A$417,0))),IF(O166&lt;&gt;"",IF(INDEX($O$2:$O$417,MATCH($M166,$A$2:$A$417,0))="","",O166-INDEX($O$2:$O$417,MATCH($M166,$A$2:$A$417,0))),IF(Q166&lt;&gt;"",IF(INDEX($Q$2:$Q$417,MATCH($M166,$A$2:$A$417,0))="","",Q166-INDEX($Q$2:$Q$417,MATCH($M166,$A$2:$A$417,0))),"")))),"")</f>
        <v/>
      </c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10" t="n"/>
      <c r="Z166" s="10" t="n"/>
      <c r="AA166" s="6" t="n"/>
      <c r="AB166" s="11" t="inlineStr">
        <is>
          <t>corpus mix train100k+govdocs2_80+datax, extra_weight=2.0; 95008 documents kept</t>
        </is>
      </c>
      <c r="AC166" s="11" t="n"/>
    </row>
    <row r="167" ht="28" customHeight="1">
      <c r="A167" s="12" t="inlineStr">
        <is>
          <t>R1.166</t>
        </is>
      </c>
      <c r="B167" s="13" t="n">
        <v>46254</v>
      </c>
      <c r="C167" s="12" t="inlineStr">
        <is>
          <t>sensitive</t>
        </is>
      </c>
      <c r="D167" s="12" t="inlineStr">
        <is>
          <t>tl17_base + head[c_100k]</t>
        </is>
      </c>
      <c r="E167" s="12" t="inlineStr">
        <is>
          <t>test100k</t>
        </is>
      </c>
      <c r="F167" s="14" t="inlineStr">
        <is>
          <t>T1</t>
        </is>
      </c>
      <c r="G167" s="15" t="n">
        <v>20000</v>
      </c>
      <c r="H167" s="16" t="n">
        <v>0.9981</v>
      </c>
      <c r="I167" s="16" t="n">
        <v>0.995</v>
      </c>
      <c r="J167" s="16" t="n">
        <v>0.9794</v>
      </c>
      <c r="K167" s="17">
        <f>IF(OR(L167="",L167=0),"",1000/L167)</f>
        <v/>
      </c>
      <c r="L167" s="18" t="n">
        <v>1.341</v>
      </c>
      <c r="M167" s="14" t="n"/>
      <c r="N167" s="19">
        <f>IFERROR(IF(P167&lt;&gt;"",IF(INDEX($P$2:$P$417,MATCH($M167,$A$2:$A$417,0))="","",P167-INDEX($P$2:$P$417,MATCH($M167,$A$2:$A$417,0))),IF(H167&lt;&gt;"",IF(INDEX($H$2:$H$417,MATCH($M167,$A$2:$A$417,0))="","",H167-INDEX($H$2:$H$417,MATCH($M167,$A$2:$A$417,0))),IF(O167&lt;&gt;"",IF(INDEX($O$2:$O$417,MATCH($M167,$A$2:$A$417,0))="","",O167-INDEX($O$2:$O$417,MATCH($M167,$A$2:$A$417,0))),IF(Q167&lt;&gt;"",IF(INDEX($Q$2:$Q$417,MATCH($M167,$A$2:$A$417,0))="","",Q167-INDEX($Q$2:$Q$417,MATCH($M167,$A$2:$A$417,0))),"")))),"")</f>
        <v/>
      </c>
      <c r="O167" s="16" t="n"/>
      <c r="P167" s="16" t="n"/>
      <c r="Q167" s="16" t="n"/>
      <c r="R167" s="16" t="n"/>
      <c r="S167" s="16" t="n"/>
      <c r="T167" s="16" t="n"/>
      <c r="U167" s="16" t="n"/>
      <c r="V167" s="16" t="n"/>
      <c r="W167" s="16" t="n"/>
      <c r="X167" s="16" t="n"/>
      <c r="Y167" s="20" t="n"/>
      <c r="Z167" s="20" t="n"/>
      <c r="AA167" s="16" t="n"/>
      <c r="AB167" s="21" t="inlineStr">
        <is>
          <t>corpus mix train100k; 72574 documents kept</t>
        </is>
      </c>
      <c r="AC167" s="21" t="n"/>
    </row>
    <row r="168" ht="28" customHeight="1">
      <c r="A168" s="2" t="inlineStr">
        <is>
          <t>R1.167</t>
        </is>
      </c>
      <c r="B168" s="3" t="n">
        <v>46254</v>
      </c>
      <c r="C168" s="2" t="inlineStr">
        <is>
          <t>sensitive</t>
        </is>
      </c>
      <c r="D168" s="2" t="inlineStr">
        <is>
          <t>tl17_base + head[c_100k_datax]</t>
        </is>
      </c>
      <c r="E168" s="2" t="inlineStr">
        <is>
          <t>test100k</t>
        </is>
      </c>
      <c r="F168" s="4" t="inlineStr">
        <is>
          <t>T1</t>
        </is>
      </c>
      <c r="G168" s="5" t="n">
        <v>20000</v>
      </c>
      <c r="H168" s="6" t="n">
        <v>0.9977</v>
      </c>
      <c r="I168" s="6" t="n">
        <v>0.9947</v>
      </c>
      <c r="J168" s="6" t="n">
        <v>0.9782999999999999</v>
      </c>
      <c r="K168" s="7">
        <f>IF(OR(L168="",L168=0),"",1000/L168)</f>
        <v/>
      </c>
      <c r="L168" s="8" t="n">
        <v>1.341</v>
      </c>
      <c r="M168" s="4" t="inlineStr">
        <is>
          <t>R1.166</t>
        </is>
      </c>
      <c r="N168" s="9">
        <f>IFERROR(IF(P168&lt;&gt;"",IF(INDEX($P$2:$P$417,MATCH($M168,$A$2:$A$417,0))="","",P168-INDEX($P$2:$P$417,MATCH($M168,$A$2:$A$417,0))),IF(H168&lt;&gt;"",IF(INDEX($H$2:$H$417,MATCH($M168,$A$2:$A$417,0))="","",H168-INDEX($H$2:$H$417,MATCH($M168,$A$2:$A$417,0))),IF(O168&lt;&gt;"",IF(INDEX($O$2:$O$417,MATCH($M168,$A$2:$A$417,0))="","",O168-INDEX($O$2:$O$417,MATCH($M168,$A$2:$A$417,0))),IF(Q168&lt;&gt;"",IF(INDEX($Q$2:$Q$417,MATCH($M168,$A$2:$A$417,0))="","",Q168-INDEX($Q$2:$Q$417,MATCH($M168,$A$2:$A$417,0))),"")))),"")</f>
        <v/>
      </c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10" t="n"/>
      <c r="Z168" s="10" t="n"/>
      <c r="AA168" s="6" t="n"/>
      <c r="AB168" s="11" t="inlineStr">
        <is>
          <t>corpus mix train100k+datax; 83925 documents kept</t>
        </is>
      </c>
      <c r="AC168" s="11" t="n"/>
    </row>
    <row r="169" ht="28" customHeight="1">
      <c r="A169" s="12" t="inlineStr">
        <is>
          <t>R1.168</t>
        </is>
      </c>
      <c r="B169" s="13" t="n">
        <v>46254</v>
      </c>
      <c r="C169" s="12" t="inlineStr">
        <is>
          <t>sensitive</t>
        </is>
      </c>
      <c r="D169" s="12" t="inlineStr">
        <is>
          <t>tl17_base + head[c_100k_gov]</t>
        </is>
      </c>
      <c r="E169" s="12" t="inlineStr">
        <is>
          <t>test100k</t>
        </is>
      </c>
      <c r="F169" s="14" t="inlineStr">
        <is>
          <t>T1</t>
        </is>
      </c>
      <c r="G169" s="15" t="n">
        <v>20000</v>
      </c>
      <c r="H169" s="16" t="n">
        <v>0.9967996799679968</v>
      </c>
      <c r="I169" s="16" t="n">
        <v>0.9930993099309932</v>
      </c>
      <c r="J169" s="16" t="n">
        <v>0.975997599759976</v>
      </c>
      <c r="K169" s="17">
        <f>IF(OR(L169="",L169=0),"",1000/L169)</f>
        <v/>
      </c>
      <c r="L169" s="18" t="n">
        <v>1.341</v>
      </c>
      <c r="M169" s="14" t="inlineStr">
        <is>
          <t>R1.166</t>
        </is>
      </c>
      <c r="N169" s="19">
        <f>IFERROR(IF(P169&lt;&gt;"",IF(INDEX($P$2:$P$417,MATCH($M169,$A$2:$A$417,0))="","",P169-INDEX($P$2:$P$417,MATCH($M169,$A$2:$A$417,0))),IF(H169&lt;&gt;"",IF(INDEX($H$2:$H$417,MATCH($M169,$A$2:$A$417,0))="","",H169-INDEX($H$2:$H$417,MATCH($M169,$A$2:$A$417,0))),IF(O169&lt;&gt;"",IF(INDEX($O$2:$O$417,MATCH($M169,$A$2:$A$417,0))="","",O169-INDEX($O$2:$O$417,MATCH($M169,$A$2:$A$417,0))),IF(Q169&lt;&gt;"",IF(INDEX($Q$2:$Q$417,MATCH($M169,$A$2:$A$417,0))="","",Q169-INDEX($Q$2:$Q$417,MATCH($M169,$A$2:$A$417,0))),"")))),"")</f>
        <v/>
      </c>
      <c r="O169" s="16" t="n"/>
      <c r="P169" s="16" t="n"/>
      <c r="Q169" s="16" t="n"/>
      <c r="R169" s="16" t="n"/>
      <c r="S169" s="16" t="n"/>
      <c r="T169" s="16" t="n"/>
      <c r="U169" s="16" t="n"/>
      <c r="V169" s="16" t="n"/>
      <c r="W169" s="16" t="n"/>
      <c r="X169" s="16" t="n"/>
      <c r="Y169" s="20" t="n"/>
      <c r="Z169" s="20" t="n"/>
      <c r="AA169" s="16" t="n"/>
      <c r="AB169" s="21" t="inlineStr">
        <is>
          <t>corpus mix train100k+govdocs2_80; 83657 documents kept</t>
        </is>
      </c>
      <c r="AC169" s="21" t="n"/>
    </row>
    <row r="170" ht="28" customHeight="1">
      <c r="A170" s="2" t="inlineStr">
        <is>
          <t>R1.169</t>
        </is>
      </c>
      <c r="B170" s="3" t="n">
        <v>46254</v>
      </c>
      <c r="C170" s="2" t="inlineStr">
        <is>
          <t>sensitive</t>
        </is>
      </c>
      <c r="D170" s="2" t="inlineStr">
        <is>
          <t>tl17_base + head[c_all]</t>
        </is>
      </c>
      <c r="E170" s="2" t="inlineStr">
        <is>
          <t>test100k</t>
        </is>
      </c>
      <c r="F170" s="4" t="inlineStr">
        <is>
          <t>T1</t>
        </is>
      </c>
      <c r="G170" s="5" t="n">
        <v>20000</v>
      </c>
      <c r="H170" s="6" t="n">
        <v>0.9975000000000001</v>
      </c>
      <c r="I170" s="6" t="n">
        <v>0.9942</v>
      </c>
      <c r="J170" s="6" t="n">
        <v>0.9758</v>
      </c>
      <c r="K170" s="7">
        <f>IF(OR(L170="",L170=0),"",1000/L170)</f>
        <v/>
      </c>
      <c r="L170" s="8" t="n">
        <v>1.341</v>
      </c>
      <c r="M170" s="4" t="inlineStr">
        <is>
          <t>R1.166</t>
        </is>
      </c>
      <c r="N170" s="9">
        <f>IFERROR(IF(P170&lt;&gt;"",IF(INDEX($P$2:$P$417,MATCH($M170,$A$2:$A$417,0))="","",P170-INDEX($P$2:$P$417,MATCH($M170,$A$2:$A$417,0))),IF(H170&lt;&gt;"",IF(INDEX($H$2:$H$417,MATCH($M170,$A$2:$A$417,0))="","",H170-INDEX($H$2:$H$417,MATCH($M170,$A$2:$A$417,0))),IF(O170&lt;&gt;"",IF(INDEX($O$2:$O$417,MATCH($M170,$A$2:$A$417,0))="","",O170-INDEX($O$2:$O$417,MATCH($M170,$A$2:$A$417,0))),IF(Q170&lt;&gt;"",IF(INDEX($Q$2:$Q$417,MATCH($M170,$A$2:$A$417,0))="","",Q170-INDEX($Q$2:$Q$417,MATCH($M170,$A$2:$A$417,0))),"")))),"")</f>
        <v/>
      </c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10" t="n"/>
      <c r="Z170" s="10" t="n"/>
      <c r="AA170" s="6" t="n"/>
      <c r="AB170" s="11" t="inlineStr">
        <is>
          <t>corpus mix train100k+govdocs2_80+datax; 95008 documents kept</t>
        </is>
      </c>
      <c r="AC170" s="11" t="n"/>
    </row>
    <row r="171" ht="28" customHeight="1">
      <c r="A171" s="12" t="inlineStr">
        <is>
          <t>R1.170</t>
        </is>
      </c>
      <c r="B171" s="13" t="n">
        <v>46254</v>
      </c>
      <c r="C171" s="12" t="inlineStr">
        <is>
          <t>sensitive</t>
        </is>
      </c>
      <c r="D171" s="12" t="inlineStr">
        <is>
          <t>tl17_base + head[c_all_doc]</t>
        </is>
      </c>
      <c r="E171" s="12" t="inlineStr">
        <is>
          <t>test100k</t>
        </is>
      </c>
      <c r="F171" s="14" t="inlineStr">
        <is>
          <t>T1</t>
        </is>
      </c>
      <c r="G171" s="15" t="n">
        <v>20000</v>
      </c>
      <c r="H171" s="16" t="n">
        <v>0.9965000000000001</v>
      </c>
      <c r="I171" s="16" t="n">
        <v>0.9925</v>
      </c>
      <c r="J171" s="16" t="n">
        <v>0.9714</v>
      </c>
      <c r="K171" s="17">
        <f>IF(OR(L171="",L171=0),"",1000/L171)</f>
        <v/>
      </c>
      <c r="L171" s="18" t="n">
        <v>1.341</v>
      </c>
      <c r="M171" s="14" t="inlineStr">
        <is>
          <t>R1.166</t>
        </is>
      </c>
      <c r="N171" s="19">
        <f>IFERROR(IF(P171&lt;&gt;"",IF(INDEX($P$2:$P$417,MATCH($M171,$A$2:$A$417,0))="","",P171-INDEX($P$2:$P$417,MATCH($M171,$A$2:$A$417,0))),IF(H171&lt;&gt;"",IF(INDEX($H$2:$H$417,MATCH($M171,$A$2:$A$417,0))="","",H171-INDEX($H$2:$H$417,MATCH($M171,$A$2:$A$417,0))),IF(O171&lt;&gt;"",IF(INDEX($O$2:$O$417,MATCH($M171,$A$2:$A$417,0))="","",O171-INDEX($O$2:$O$417,MATCH($M171,$A$2:$A$417,0))),IF(Q171&lt;&gt;"",IF(INDEX($Q$2:$Q$417,MATCH($M171,$A$2:$A$417,0))="","",Q171-INDEX($Q$2:$Q$417,MATCH($M171,$A$2:$A$417,0))),"")))),"")</f>
        <v/>
      </c>
      <c r="O171" s="16" t="n"/>
      <c r="P171" s="16" t="n"/>
      <c r="Q171" s="16" t="n"/>
      <c r="R171" s="16" t="n"/>
      <c r="S171" s="16" t="n"/>
      <c r="T171" s="16" t="n"/>
      <c r="U171" s="16" t="n"/>
      <c r="V171" s="16" t="n"/>
      <c r="W171" s="16" t="n"/>
      <c r="X171" s="16" t="n"/>
      <c r="Y171" s="20" t="n"/>
      <c r="Z171" s="20" t="n"/>
      <c r="AA171" s="16" t="n"/>
      <c r="AB171" s="21" t="inlineStr">
        <is>
          <t>corpus mix train100k+govdocs2_80+datax, features=doc; 95008 documents kept</t>
        </is>
      </c>
      <c r="AC171" s="21" t="n"/>
    </row>
    <row r="172" ht="28" customHeight="1">
      <c r="A172" s="2" t="inlineStr">
        <is>
          <t>R1.171</t>
        </is>
      </c>
      <c r="B172" s="3" t="n">
        <v>46254</v>
      </c>
      <c r="C172" s="2" t="inlineStr">
        <is>
          <t>sensitive</t>
        </is>
      </c>
      <c r="D172" s="2" t="inlineStr">
        <is>
          <t>tl17_base + head[c_all_dupkeep]</t>
        </is>
      </c>
      <c r="E172" s="2" t="inlineStr">
        <is>
          <t>test100k</t>
        </is>
      </c>
      <c r="F172" s="4" t="inlineStr">
        <is>
          <t>T1</t>
        </is>
      </c>
      <c r="G172" s="5" t="n">
        <v>20000</v>
      </c>
      <c r="H172" s="6" t="n">
        <v>0.9968</v>
      </c>
      <c r="I172" s="6" t="n">
        <v>0.9932</v>
      </c>
      <c r="J172" s="6" t="n">
        <v>0.9742</v>
      </c>
      <c r="K172" s="7">
        <f>IF(OR(L172="",L172=0),"",1000/L172)</f>
        <v/>
      </c>
      <c r="L172" s="8" t="n">
        <v>1.341</v>
      </c>
      <c r="M172" s="4" t="inlineStr">
        <is>
          <t>R1.166</t>
        </is>
      </c>
      <c r="N172" s="9">
        <f>IFERROR(IF(P172&lt;&gt;"",IF(INDEX($P$2:$P$417,MATCH($M172,$A$2:$A$417,0))="","",P172-INDEX($P$2:$P$417,MATCH($M172,$A$2:$A$417,0))),IF(H172&lt;&gt;"",IF(INDEX($H$2:$H$417,MATCH($M172,$A$2:$A$417,0))="","",H172-INDEX($H$2:$H$417,MATCH($M172,$A$2:$A$417,0))),IF(O172&lt;&gt;"",IF(INDEX($O$2:$O$417,MATCH($M172,$A$2:$A$417,0))="","",O172-INDEX($O$2:$O$417,MATCH($M172,$A$2:$A$417,0))),IF(Q172&lt;&gt;"",IF(INDEX($Q$2:$Q$417,MATCH($M172,$A$2:$A$417,0))="","",Q172-INDEX($Q$2:$Q$417,MATCH($M172,$A$2:$A$417,0))),"")))),"")</f>
        <v/>
      </c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10" t="n"/>
      <c r="Z172" s="10" t="n"/>
      <c r="AA172" s="6" t="n"/>
      <c r="AB172" s="11" t="inlineStr">
        <is>
          <t>corpus mix train100k+govdocs2_80+datax, dedupe_internal=False; 105812 documents kept</t>
        </is>
      </c>
      <c r="AC172" s="11" t="n"/>
    </row>
    <row r="173" ht="28" customHeight="1">
      <c r="A173" s="12" t="inlineStr">
        <is>
          <t>R1.172</t>
        </is>
      </c>
      <c r="B173" s="13" t="n">
        <v>46254</v>
      </c>
      <c r="C173" s="12" t="inlineStr">
        <is>
          <t>sensitive</t>
        </is>
      </c>
      <c r="D173" s="12" t="inlineStr">
        <is>
          <t>tl17_base + head[c_all_nonegs]</t>
        </is>
      </c>
      <c r="E173" s="12" t="inlineStr">
        <is>
          <t>test100k</t>
        </is>
      </c>
      <c r="F173" s="14" t="inlineStr">
        <is>
          <t>T1</t>
        </is>
      </c>
      <c r="G173" s="15" t="n">
        <v>20000</v>
      </c>
      <c r="H173" s="16" t="n">
        <v>0.9974</v>
      </c>
      <c r="I173" s="16" t="n">
        <v>0.9942</v>
      </c>
      <c r="J173" s="16" t="n">
        <v>0.9787</v>
      </c>
      <c r="K173" s="17">
        <f>IF(OR(L173="",L173=0),"",1000/L173)</f>
        <v/>
      </c>
      <c r="L173" s="18" t="n">
        <v>1.341</v>
      </c>
      <c r="M173" s="14" t="inlineStr">
        <is>
          <t>R1.166</t>
        </is>
      </c>
      <c r="N173" s="19">
        <f>IFERROR(IF(P173&lt;&gt;"",IF(INDEX($P$2:$P$417,MATCH($M173,$A$2:$A$417,0))="","",P173-INDEX($P$2:$P$417,MATCH($M173,$A$2:$A$417,0))),IF(H173&lt;&gt;"",IF(INDEX($H$2:$H$417,MATCH($M173,$A$2:$A$417,0))="","",H173-INDEX($H$2:$H$417,MATCH($M173,$A$2:$A$417,0))),IF(O173&lt;&gt;"",IF(INDEX($O$2:$O$417,MATCH($M173,$A$2:$A$417,0))="","",O173-INDEX($O$2:$O$417,MATCH($M173,$A$2:$A$417,0))),IF(Q173&lt;&gt;"",IF(INDEX($Q$2:$Q$417,MATCH($M173,$A$2:$A$417,0))="","",Q173-INDEX($Q$2:$Q$417,MATCH($M173,$A$2:$A$417,0))),"")))),"")</f>
        <v/>
      </c>
      <c r="O173" s="16" t="n"/>
      <c r="P173" s="16" t="n"/>
      <c r="Q173" s="16" t="n"/>
      <c r="R173" s="16" t="n"/>
      <c r="S173" s="16" t="n"/>
      <c r="T173" s="16" t="n"/>
      <c r="U173" s="16" t="n"/>
      <c r="V173" s="16" t="n"/>
      <c r="W173" s="16" t="n"/>
      <c r="X173" s="16" t="n"/>
      <c r="Y173" s="20" t="n"/>
      <c r="Z173" s="20" t="n"/>
      <c r="AA173" s="16" t="n"/>
      <c r="AB173" s="21" t="inlineStr">
        <is>
          <t>corpus mix train100k+govdocs2_80+datax, drop_empty_gold=True; 78603 documents kept</t>
        </is>
      </c>
      <c r="AC173" s="21" t="n"/>
    </row>
    <row r="174" ht="28" customHeight="1">
      <c r="A174" s="2" t="inlineStr">
        <is>
          <t>R1.173</t>
        </is>
      </c>
      <c r="B174" s="3" t="n">
        <v>46254</v>
      </c>
      <c r="C174" s="2" t="inlineStr">
        <is>
          <t>sensitive</t>
        </is>
      </c>
      <c r="D174" s="2" t="inlineStr">
        <is>
          <t>tl17_base + head[c_all_pertag]</t>
        </is>
      </c>
      <c r="E174" s="2" t="inlineStr">
        <is>
          <t>test100k</t>
        </is>
      </c>
      <c r="F174" s="4" t="inlineStr">
        <is>
          <t>T1</t>
        </is>
      </c>
      <c r="G174" s="5" t="n">
        <v>20000</v>
      </c>
      <c r="H174" s="6" t="n">
        <v>0.9978</v>
      </c>
      <c r="I174" s="6" t="n">
        <v>0.9954</v>
      </c>
      <c r="J174" s="6" t="n">
        <v>0.9761</v>
      </c>
      <c r="K174" s="7">
        <f>IF(OR(L174="",L174=0),"",1000/L174)</f>
        <v/>
      </c>
      <c r="L174" s="8" t="n">
        <v>1.341</v>
      </c>
      <c r="M174" s="4" t="inlineStr">
        <is>
          <t>R1.166</t>
        </is>
      </c>
      <c r="N174" s="9">
        <f>IFERROR(IF(P174&lt;&gt;"",IF(INDEX($P$2:$P$417,MATCH($M174,$A$2:$A$417,0))="","",P174-INDEX($P$2:$P$417,MATCH($M174,$A$2:$A$417,0))),IF(H174&lt;&gt;"",IF(INDEX($H$2:$H$417,MATCH($M174,$A$2:$A$417,0))="","",H174-INDEX($H$2:$H$417,MATCH($M174,$A$2:$A$417,0))),IF(O174&lt;&gt;"",IF(INDEX($O$2:$O$417,MATCH($M174,$A$2:$A$417,0))="","",O174-INDEX($O$2:$O$417,MATCH($M174,$A$2:$A$417,0))),IF(Q174&lt;&gt;"",IF(INDEX($Q$2:$Q$417,MATCH($M174,$A$2:$A$417,0))="","",Q174-INDEX($Q$2:$Q$417,MATCH($M174,$A$2:$A$417,0))),"")))),"")</f>
        <v/>
      </c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10" t="n"/>
      <c r="Z174" s="10" t="n"/>
      <c r="AA174" s="6" t="n"/>
      <c r="AB174" s="11" t="inlineStr">
        <is>
          <t>corpus mix train100k+govdocs2_80+datax, threshold=per_tag; 95008 documents kept</t>
        </is>
      </c>
      <c r="AC174" s="11" t="n"/>
    </row>
    <row r="175" ht="28" customHeight="1">
      <c r="A175" s="12" t="inlineStr">
        <is>
          <t>R1.174</t>
        </is>
      </c>
      <c r="B175" s="13" t="n">
        <v>46254</v>
      </c>
      <c r="C175" s="12" t="inlineStr">
        <is>
          <t>sensitive</t>
        </is>
      </c>
      <c r="D175" s="12" t="inlineStr">
        <is>
          <t>tl17_base + head[c_all_w0.5]</t>
        </is>
      </c>
      <c r="E175" s="12" t="inlineStr">
        <is>
          <t>test100k</t>
        </is>
      </c>
      <c r="F175" s="14" t="inlineStr">
        <is>
          <t>T1</t>
        </is>
      </c>
      <c r="G175" s="15" t="n">
        <v>20000</v>
      </c>
      <c r="H175" s="16" t="n">
        <v>0.9979</v>
      </c>
      <c r="I175" s="16" t="n">
        <v>0.9944</v>
      </c>
      <c r="J175" s="16" t="n">
        <v>0.9771</v>
      </c>
      <c r="K175" s="17">
        <f>IF(OR(L175="",L175=0),"",1000/L175)</f>
        <v/>
      </c>
      <c r="L175" s="18" t="n">
        <v>1.341</v>
      </c>
      <c r="M175" s="14" t="inlineStr">
        <is>
          <t>R1.166</t>
        </is>
      </c>
      <c r="N175" s="19">
        <f>IFERROR(IF(P175&lt;&gt;"",IF(INDEX($P$2:$P$417,MATCH($M175,$A$2:$A$417,0))="","",P175-INDEX($P$2:$P$417,MATCH($M175,$A$2:$A$417,0))),IF(H175&lt;&gt;"",IF(INDEX($H$2:$H$417,MATCH($M175,$A$2:$A$417,0))="","",H175-INDEX($H$2:$H$417,MATCH($M175,$A$2:$A$417,0))),IF(O175&lt;&gt;"",IF(INDEX($O$2:$O$417,MATCH($M175,$A$2:$A$417,0))="","",O175-INDEX($O$2:$O$417,MATCH($M175,$A$2:$A$417,0))),IF(Q175&lt;&gt;"",IF(INDEX($Q$2:$Q$417,MATCH($M175,$A$2:$A$417,0))="","",Q175-INDEX($Q$2:$Q$417,MATCH($M175,$A$2:$A$417,0))),"")))),"")</f>
        <v/>
      </c>
      <c r="O175" s="16" t="n"/>
      <c r="P175" s="16" t="n"/>
      <c r="Q175" s="16" t="n"/>
      <c r="R175" s="16" t="n"/>
      <c r="S175" s="16" t="n"/>
      <c r="T175" s="16" t="n"/>
      <c r="U175" s="16" t="n"/>
      <c r="V175" s="16" t="n"/>
      <c r="W175" s="16" t="n"/>
      <c r="X175" s="16" t="n"/>
      <c r="Y175" s="20" t="n"/>
      <c r="Z175" s="20" t="n"/>
      <c r="AA175" s="16" t="n"/>
      <c r="AB175" s="21" t="inlineStr">
        <is>
          <t>corpus mix train100k+govdocs2_80+datax, extra_weight=0.5; 95008 documents kept</t>
        </is>
      </c>
      <c r="AC175" s="21" t="n"/>
    </row>
    <row r="176" ht="28" customHeight="1">
      <c r="A176" s="2" t="inlineStr">
        <is>
          <t>R1.175</t>
        </is>
      </c>
      <c r="B176" s="3" t="n">
        <v>46254</v>
      </c>
      <c r="C176" s="2" t="inlineStr">
        <is>
          <t>sensitive</t>
        </is>
      </c>
      <c r="D176" s="2" t="inlineStr">
        <is>
          <t>tl17_base + head[c_all_w2]</t>
        </is>
      </c>
      <c r="E176" s="2" t="inlineStr">
        <is>
          <t>test100k</t>
        </is>
      </c>
      <c r="F176" s="4" t="inlineStr">
        <is>
          <t>T1</t>
        </is>
      </c>
      <c r="G176" s="5" t="n">
        <v>20000</v>
      </c>
      <c r="H176" s="6" t="n">
        <v>0.9962</v>
      </c>
      <c r="I176" s="6" t="n">
        <v>0.9921</v>
      </c>
      <c r="J176" s="6" t="n">
        <v>0.9719</v>
      </c>
      <c r="K176" s="7">
        <f>IF(OR(L176="",L176=0),"",1000/L176)</f>
        <v/>
      </c>
      <c r="L176" s="8" t="n">
        <v>1.341</v>
      </c>
      <c r="M176" s="4" t="inlineStr">
        <is>
          <t>R1.166</t>
        </is>
      </c>
      <c r="N176" s="9">
        <f>IFERROR(IF(P176&lt;&gt;"",IF(INDEX($P$2:$P$417,MATCH($M176,$A$2:$A$417,0))="","",P176-INDEX($P$2:$P$417,MATCH($M176,$A$2:$A$417,0))),IF(H176&lt;&gt;"",IF(INDEX($H$2:$H$417,MATCH($M176,$A$2:$A$417,0))="","",H176-INDEX($H$2:$H$417,MATCH($M176,$A$2:$A$417,0))),IF(O176&lt;&gt;"",IF(INDEX($O$2:$O$417,MATCH($M176,$A$2:$A$417,0))="","",O176-INDEX($O$2:$O$417,MATCH($M176,$A$2:$A$417,0))),IF(Q176&lt;&gt;"",IF(INDEX($Q$2:$Q$417,MATCH($M176,$A$2:$A$417,0))="","",Q176-INDEX($Q$2:$Q$417,MATCH($M176,$A$2:$A$417,0))),"")))),"")</f>
        <v/>
      </c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10" t="n"/>
      <c r="Z176" s="10" t="n"/>
      <c r="AA176" s="6" t="n"/>
      <c r="AB176" s="11" t="inlineStr">
        <is>
          <t>corpus mix train100k+govdocs2_80+datax, extra_weight=2.0; 95008 documents kept</t>
        </is>
      </c>
      <c r="AC176" s="11" t="n"/>
    </row>
    <row r="177" ht="28" customHeight="1">
      <c r="A177" s="12" t="inlineStr">
        <is>
          <t>R1.176</t>
        </is>
      </c>
      <c r="B177" s="13" t="n">
        <v>46254</v>
      </c>
      <c r="C177" s="12" t="inlineStr">
        <is>
          <t>sensitive</t>
        </is>
      </c>
      <c r="D177" s="12" t="inlineStr">
        <is>
          <t>tl17_base + head[c_100k]</t>
        </is>
      </c>
      <c r="E177" s="12" t="inlineStr">
        <is>
          <t>val100k</t>
        </is>
      </c>
      <c r="F177" s="14" t="inlineStr">
        <is>
          <t>T1</t>
        </is>
      </c>
      <c r="G177" s="15" t="n">
        <v>20000</v>
      </c>
      <c r="H177" s="16" t="n">
        <v>0.9963</v>
      </c>
      <c r="I177" s="16" t="n">
        <v>0.9936</v>
      </c>
      <c r="J177" s="16" t="n">
        <v>0.9766</v>
      </c>
      <c r="K177" s="17">
        <f>IF(OR(L177="",L177=0),"",1000/L177)</f>
        <v/>
      </c>
      <c r="L177" s="18" t="n">
        <v>1.341</v>
      </c>
      <c r="M177" s="14" t="n"/>
      <c r="N177" s="19">
        <f>IFERROR(IF(P177&lt;&gt;"",IF(INDEX($P$2:$P$417,MATCH($M177,$A$2:$A$417,0))="","",P177-INDEX($P$2:$P$417,MATCH($M177,$A$2:$A$417,0))),IF(H177&lt;&gt;"",IF(INDEX($H$2:$H$417,MATCH($M177,$A$2:$A$417,0))="","",H177-INDEX($H$2:$H$417,MATCH($M177,$A$2:$A$417,0))),IF(O177&lt;&gt;"",IF(INDEX($O$2:$O$417,MATCH($M177,$A$2:$A$417,0))="","",O177-INDEX($O$2:$O$417,MATCH($M177,$A$2:$A$417,0))),IF(Q177&lt;&gt;"",IF(INDEX($Q$2:$Q$417,MATCH($M177,$A$2:$A$417,0))="","",Q177-INDEX($Q$2:$Q$417,MATCH($M177,$A$2:$A$417,0))),"")))),"")</f>
        <v/>
      </c>
      <c r="O177" s="16" t="n"/>
      <c r="P177" s="16" t="n"/>
      <c r="Q177" s="16" t="n"/>
      <c r="R177" s="16" t="n"/>
      <c r="S177" s="16" t="n"/>
      <c r="T177" s="16" t="n"/>
      <c r="U177" s="16" t="n"/>
      <c r="V177" s="16" t="n"/>
      <c r="W177" s="16" t="n"/>
      <c r="X177" s="16" t="n"/>
      <c r="Y177" s="20" t="n"/>
      <c r="Z177" s="20" t="n"/>
      <c r="AA177" s="16" t="n"/>
      <c r="AB177" s="21" t="inlineStr">
        <is>
          <t>corpus mix train100k; 72574 documents kept</t>
        </is>
      </c>
      <c r="AC177" s="21" t="n"/>
    </row>
    <row r="178" ht="28" customHeight="1">
      <c r="A178" s="2" t="inlineStr">
        <is>
          <t>R1.177</t>
        </is>
      </c>
      <c r="B178" s="3" t="n">
        <v>46254</v>
      </c>
      <c r="C178" s="2" t="inlineStr">
        <is>
          <t>sensitive</t>
        </is>
      </c>
      <c r="D178" s="2" t="inlineStr">
        <is>
          <t>tl17_base + head[c_100k_datax]</t>
        </is>
      </c>
      <c r="E178" s="2" t="inlineStr">
        <is>
          <t>val100k</t>
        </is>
      </c>
      <c r="F178" s="4" t="inlineStr">
        <is>
          <t>T1</t>
        </is>
      </c>
      <c r="G178" s="5" t="n">
        <v>20000</v>
      </c>
      <c r="H178" s="6" t="n">
        <v>0.9964</v>
      </c>
      <c r="I178" s="6" t="n">
        <v>0.9939</v>
      </c>
      <c r="J178" s="6" t="n">
        <v>0.9789</v>
      </c>
      <c r="K178" s="7">
        <f>IF(OR(L178="",L178=0),"",1000/L178)</f>
        <v/>
      </c>
      <c r="L178" s="8" t="n">
        <v>1.341</v>
      </c>
      <c r="M178" s="4" t="inlineStr">
        <is>
          <t>R1.176</t>
        </is>
      </c>
      <c r="N178" s="9">
        <f>IFERROR(IF(P178&lt;&gt;"",IF(INDEX($P$2:$P$417,MATCH($M178,$A$2:$A$417,0))="","",P178-INDEX($P$2:$P$417,MATCH($M178,$A$2:$A$417,0))),IF(H178&lt;&gt;"",IF(INDEX($H$2:$H$417,MATCH($M178,$A$2:$A$417,0))="","",H178-INDEX($H$2:$H$417,MATCH($M178,$A$2:$A$417,0))),IF(O178&lt;&gt;"",IF(INDEX($O$2:$O$417,MATCH($M178,$A$2:$A$417,0))="","",O178-INDEX($O$2:$O$417,MATCH($M178,$A$2:$A$417,0))),IF(Q178&lt;&gt;"",IF(INDEX($Q$2:$Q$417,MATCH($M178,$A$2:$A$417,0))="","",Q178-INDEX($Q$2:$Q$417,MATCH($M178,$A$2:$A$417,0))),"")))),"")</f>
        <v/>
      </c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10" t="n"/>
      <c r="Z178" s="10" t="n"/>
      <c r="AA178" s="6" t="n"/>
      <c r="AB178" s="11" t="inlineStr">
        <is>
          <t>corpus mix train100k+datax; 83925 documents kept</t>
        </is>
      </c>
      <c r="AC178" s="11" t="n"/>
    </row>
    <row r="179" ht="28" customHeight="1">
      <c r="A179" s="12" t="inlineStr">
        <is>
          <t>R1.178</t>
        </is>
      </c>
      <c r="B179" s="13" t="n">
        <v>46254</v>
      </c>
      <c r="C179" s="12" t="inlineStr">
        <is>
          <t>sensitive</t>
        </is>
      </c>
      <c r="D179" s="12" t="inlineStr">
        <is>
          <t>tl17_base + head[c_100k_gov]</t>
        </is>
      </c>
      <c r="E179" s="12" t="inlineStr">
        <is>
          <t>val100k</t>
        </is>
      </c>
      <c r="F179" s="14" t="inlineStr">
        <is>
          <t>T1</t>
        </is>
      </c>
      <c r="G179" s="15" t="n">
        <v>20000</v>
      </c>
      <c r="H179" s="16" t="n">
        <v>0.9952497624881245</v>
      </c>
      <c r="I179" s="16" t="n">
        <v>0.9915495774788738</v>
      </c>
      <c r="J179" s="16" t="n">
        <v>0.9715485774288715</v>
      </c>
      <c r="K179" s="17">
        <f>IF(OR(L179="",L179=0),"",1000/L179)</f>
        <v/>
      </c>
      <c r="L179" s="18" t="n">
        <v>1.341</v>
      </c>
      <c r="M179" s="14" t="inlineStr">
        <is>
          <t>R1.176</t>
        </is>
      </c>
      <c r="N179" s="19">
        <f>IFERROR(IF(P179&lt;&gt;"",IF(INDEX($P$2:$P$417,MATCH($M179,$A$2:$A$417,0))="","",P179-INDEX($P$2:$P$417,MATCH($M179,$A$2:$A$417,0))),IF(H179&lt;&gt;"",IF(INDEX($H$2:$H$417,MATCH($M179,$A$2:$A$417,0))="","",H179-INDEX($H$2:$H$417,MATCH($M179,$A$2:$A$417,0))),IF(O179&lt;&gt;"",IF(INDEX($O$2:$O$417,MATCH($M179,$A$2:$A$417,0))="","",O179-INDEX($O$2:$O$417,MATCH($M179,$A$2:$A$417,0))),IF(Q179&lt;&gt;"",IF(INDEX($Q$2:$Q$417,MATCH($M179,$A$2:$A$417,0))="","",Q179-INDEX($Q$2:$Q$417,MATCH($M179,$A$2:$A$417,0))),"")))),"")</f>
        <v/>
      </c>
      <c r="O179" s="16" t="n"/>
      <c r="P179" s="16" t="n"/>
      <c r="Q179" s="16" t="n"/>
      <c r="R179" s="16" t="n"/>
      <c r="S179" s="16" t="n"/>
      <c r="T179" s="16" t="n"/>
      <c r="U179" s="16" t="n"/>
      <c r="V179" s="16" t="n"/>
      <c r="W179" s="16" t="n"/>
      <c r="X179" s="16" t="n"/>
      <c r="Y179" s="20" t="n"/>
      <c r="Z179" s="20" t="n"/>
      <c r="AA179" s="16" t="n"/>
      <c r="AB179" s="21" t="inlineStr">
        <is>
          <t>corpus mix train100k+govdocs2_80; 83657 documents kept</t>
        </is>
      </c>
      <c r="AC179" s="21" t="n"/>
    </row>
    <row r="180" ht="28" customHeight="1">
      <c r="A180" s="2" t="inlineStr">
        <is>
          <t>R1.179</t>
        </is>
      </c>
      <c r="B180" s="3" t="n">
        <v>46254</v>
      </c>
      <c r="C180" s="2" t="inlineStr">
        <is>
          <t>sensitive</t>
        </is>
      </c>
      <c r="D180" s="2" t="inlineStr">
        <is>
          <t>tl17_base + head[c_all]</t>
        </is>
      </c>
      <c r="E180" s="2" t="inlineStr">
        <is>
          <t>val100k</t>
        </is>
      </c>
      <c r="F180" s="4" t="inlineStr">
        <is>
          <t>T1</t>
        </is>
      </c>
      <c r="G180" s="5" t="n">
        <v>20000</v>
      </c>
      <c r="H180" s="6" t="n">
        <v>0.996</v>
      </c>
      <c r="I180" s="6" t="n">
        <v>0.9927</v>
      </c>
      <c r="J180" s="6" t="n">
        <v>0.9744</v>
      </c>
      <c r="K180" s="7">
        <f>IF(OR(L180="",L180=0),"",1000/L180)</f>
        <v/>
      </c>
      <c r="L180" s="8" t="n">
        <v>1.341</v>
      </c>
      <c r="M180" s="4" t="inlineStr">
        <is>
          <t>R1.176</t>
        </is>
      </c>
      <c r="N180" s="9">
        <f>IFERROR(IF(P180&lt;&gt;"",IF(INDEX($P$2:$P$417,MATCH($M180,$A$2:$A$417,0))="","",P180-INDEX($P$2:$P$417,MATCH($M180,$A$2:$A$417,0))),IF(H180&lt;&gt;"",IF(INDEX($H$2:$H$417,MATCH($M180,$A$2:$A$417,0))="","",H180-INDEX($H$2:$H$417,MATCH($M180,$A$2:$A$417,0))),IF(O180&lt;&gt;"",IF(INDEX($O$2:$O$417,MATCH($M180,$A$2:$A$417,0))="","",O180-INDEX($O$2:$O$417,MATCH($M180,$A$2:$A$417,0))),IF(Q180&lt;&gt;"",IF(INDEX($Q$2:$Q$417,MATCH($M180,$A$2:$A$417,0))="","",Q180-INDEX($Q$2:$Q$417,MATCH($M180,$A$2:$A$417,0))),"")))),"")</f>
        <v/>
      </c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10" t="n"/>
      <c r="Z180" s="10" t="n"/>
      <c r="AA180" s="6" t="n"/>
      <c r="AB180" s="11" t="inlineStr">
        <is>
          <t>corpus mix train100k+govdocs2_80+datax; 95008 documents kept</t>
        </is>
      </c>
      <c r="AC180" s="11" t="n"/>
    </row>
    <row r="181" ht="28" customHeight="1">
      <c r="A181" s="12" t="inlineStr">
        <is>
          <t>R1.180</t>
        </is>
      </c>
      <c r="B181" s="13" t="n">
        <v>46254</v>
      </c>
      <c r="C181" s="12" t="inlineStr">
        <is>
          <t>sensitive</t>
        </is>
      </c>
      <c r="D181" s="12" t="inlineStr">
        <is>
          <t>tl17_base + head[c_all_doc]</t>
        </is>
      </c>
      <c r="E181" s="12" t="inlineStr">
        <is>
          <t>val100k</t>
        </is>
      </c>
      <c r="F181" s="14" t="inlineStr">
        <is>
          <t>T1</t>
        </is>
      </c>
      <c r="G181" s="15" t="n">
        <v>20000</v>
      </c>
      <c r="H181" s="16" t="n">
        <v>0.9951</v>
      </c>
      <c r="I181" s="16" t="n">
        <v>0.9913</v>
      </c>
      <c r="J181" s="16" t="n">
        <v>0.971</v>
      </c>
      <c r="K181" s="17">
        <f>IF(OR(L181="",L181=0),"",1000/L181)</f>
        <v/>
      </c>
      <c r="L181" s="18" t="n">
        <v>1.341</v>
      </c>
      <c r="M181" s="14" t="inlineStr">
        <is>
          <t>R1.176</t>
        </is>
      </c>
      <c r="N181" s="19">
        <f>IFERROR(IF(P181&lt;&gt;"",IF(INDEX($P$2:$P$417,MATCH($M181,$A$2:$A$417,0))="","",P181-INDEX($P$2:$P$417,MATCH($M181,$A$2:$A$417,0))),IF(H181&lt;&gt;"",IF(INDEX($H$2:$H$417,MATCH($M181,$A$2:$A$417,0))="","",H181-INDEX($H$2:$H$417,MATCH($M181,$A$2:$A$417,0))),IF(O181&lt;&gt;"",IF(INDEX($O$2:$O$417,MATCH($M181,$A$2:$A$417,0))="","",O181-INDEX($O$2:$O$417,MATCH($M181,$A$2:$A$417,0))),IF(Q181&lt;&gt;"",IF(INDEX($Q$2:$Q$417,MATCH($M181,$A$2:$A$417,0))="","",Q181-INDEX($Q$2:$Q$417,MATCH($M181,$A$2:$A$417,0))),"")))),"")</f>
        <v/>
      </c>
      <c r="O181" s="16" t="n"/>
      <c r="P181" s="16" t="n"/>
      <c r="Q181" s="16" t="n"/>
      <c r="R181" s="16" t="n"/>
      <c r="S181" s="16" t="n"/>
      <c r="T181" s="16" t="n"/>
      <c r="U181" s="16" t="n"/>
      <c r="V181" s="16" t="n"/>
      <c r="W181" s="16" t="n"/>
      <c r="X181" s="16" t="n"/>
      <c r="Y181" s="20" t="n"/>
      <c r="Z181" s="20" t="n"/>
      <c r="AA181" s="16" t="n"/>
      <c r="AB181" s="21" t="inlineStr">
        <is>
          <t>corpus mix train100k+govdocs2_80+datax, features=doc; 95008 documents kept</t>
        </is>
      </c>
      <c r="AC181" s="21" t="n"/>
    </row>
    <row r="182" ht="28" customHeight="1">
      <c r="A182" s="2" t="inlineStr">
        <is>
          <t>R1.181</t>
        </is>
      </c>
      <c r="B182" s="3" t="n">
        <v>46254</v>
      </c>
      <c r="C182" s="2" t="inlineStr">
        <is>
          <t>sensitive</t>
        </is>
      </c>
      <c r="D182" s="2" t="inlineStr">
        <is>
          <t>tl17_base + head[c_all_dupkeep]</t>
        </is>
      </c>
      <c r="E182" s="2" t="inlineStr">
        <is>
          <t>val100k</t>
        </is>
      </c>
      <c r="F182" s="4" t="inlineStr">
        <is>
          <t>T1</t>
        </is>
      </c>
      <c r="G182" s="5" t="n">
        <v>20000</v>
      </c>
      <c r="H182" s="6" t="n">
        <v>0.9957</v>
      </c>
      <c r="I182" s="6" t="n">
        <v>0.9923999999999999</v>
      </c>
      <c r="J182" s="6" t="n">
        <v>0.9724</v>
      </c>
      <c r="K182" s="7">
        <f>IF(OR(L182="",L182=0),"",1000/L182)</f>
        <v/>
      </c>
      <c r="L182" s="8" t="n">
        <v>1.341</v>
      </c>
      <c r="M182" s="4" t="inlineStr">
        <is>
          <t>R1.176</t>
        </is>
      </c>
      <c r="N182" s="9">
        <f>IFERROR(IF(P182&lt;&gt;"",IF(INDEX($P$2:$P$417,MATCH($M182,$A$2:$A$417,0))="","",P182-INDEX($P$2:$P$417,MATCH($M182,$A$2:$A$417,0))),IF(H182&lt;&gt;"",IF(INDEX($H$2:$H$417,MATCH($M182,$A$2:$A$417,0))="","",H182-INDEX($H$2:$H$417,MATCH($M182,$A$2:$A$417,0))),IF(O182&lt;&gt;"",IF(INDEX($O$2:$O$417,MATCH($M182,$A$2:$A$417,0))="","",O182-INDEX($O$2:$O$417,MATCH($M182,$A$2:$A$417,0))),IF(Q182&lt;&gt;"",IF(INDEX($Q$2:$Q$417,MATCH($M182,$A$2:$A$417,0))="","",Q182-INDEX($Q$2:$Q$417,MATCH($M182,$A$2:$A$417,0))),"")))),"")</f>
        <v/>
      </c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10" t="n"/>
      <c r="Z182" s="10" t="n"/>
      <c r="AA182" s="6" t="n"/>
      <c r="AB182" s="11" t="inlineStr">
        <is>
          <t>corpus mix train100k+govdocs2_80+datax, dedupe_internal=False; 105812 documents kept</t>
        </is>
      </c>
      <c r="AC182" s="11" t="n"/>
    </row>
    <row r="183" ht="28" customHeight="1">
      <c r="A183" s="12" t="inlineStr">
        <is>
          <t>R1.182</t>
        </is>
      </c>
      <c r="B183" s="13" t="n">
        <v>46254</v>
      </c>
      <c r="C183" s="12" t="inlineStr">
        <is>
          <t>sensitive</t>
        </is>
      </c>
      <c r="D183" s="12" t="inlineStr">
        <is>
          <t>tl17_base + head[c_all_nonegs]</t>
        </is>
      </c>
      <c r="E183" s="12" t="inlineStr">
        <is>
          <t>val100k</t>
        </is>
      </c>
      <c r="F183" s="14" t="inlineStr">
        <is>
          <t>T1</t>
        </is>
      </c>
      <c r="G183" s="15" t="n">
        <v>20000</v>
      </c>
      <c r="H183" s="16" t="n">
        <v>0.9955000000000002</v>
      </c>
      <c r="I183" s="16" t="n">
        <v>0.9925</v>
      </c>
      <c r="J183" s="16" t="n">
        <v>0.9768</v>
      </c>
      <c r="K183" s="17">
        <f>IF(OR(L183="",L183=0),"",1000/L183)</f>
        <v/>
      </c>
      <c r="L183" s="18" t="n">
        <v>1.341</v>
      </c>
      <c r="M183" s="14" t="inlineStr">
        <is>
          <t>R1.176</t>
        </is>
      </c>
      <c r="N183" s="19">
        <f>IFERROR(IF(P183&lt;&gt;"",IF(INDEX($P$2:$P$417,MATCH($M183,$A$2:$A$417,0))="","",P183-INDEX($P$2:$P$417,MATCH($M183,$A$2:$A$417,0))),IF(H183&lt;&gt;"",IF(INDEX($H$2:$H$417,MATCH($M183,$A$2:$A$417,0))="","",H183-INDEX($H$2:$H$417,MATCH($M183,$A$2:$A$417,0))),IF(O183&lt;&gt;"",IF(INDEX($O$2:$O$417,MATCH($M183,$A$2:$A$417,0))="","",O183-INDEX($O$2:$O$417,MATCH($M183,$A$2:$A$417,0))),IF(Q183&lt;&gt;"",IF(INDEX($Q$2:$Q$417,MATCH($M183,$A$2:$A$417,0))="","",Q183-INDEX($Q$2:$Q$417,MATCH($M183,$A$2:$A$417,0))),"")))),"")</f>
        <v/>
      </c>
      <c r="O183" s="16" t="n"/>
      <c r="P183" s="16" t="n"/>
      <c r="Q183" s="16" t="n"/>
      <c r="R183" s="16" t="n"/>
      <c r="S183" s="16" t="n"/>
      <c r="T183" s="16" t="n"/>
      <c r="U183" s="16" t="n"/>
      <c r="V183" s="16" t="n"/>
      <c r="W183" s="16" t="n"/>
      <c r="X183" s="16" t="n"/>
      <c r="Y183" s="20" t="n"/>
      <c r="Z183" s="20" t="n"/>
      <c r="AA183" s="16" t="n"/>
      <c r="AB183" s="21" t="inlineStr">
        <is>
          <t>corpus mix train100k+govdocs2_80+datax, drop_empty_gold=True; 78603 documents kept</t>
        </is>
      </c>
      <c r="AC183" s="21" t="n"/>
    </row>
    <row r="184" ht="28" customHeight="1">
      <c r="A184" s="2" t="inlineStr">
        <is>
          <t>R1.183</t>
        </is>
      </c>
      <c r="B184" s="3" t="n">
        <v>46254</v>
      </c>
      <c r="C184" s="2" t="inlineStr">
        <is>
          <t>sensitive</t>
        </is>
      </c>
      <c r="D184" s="2" t="inlineStr">
        <is>
          <t>tl17_base + head[c_all_pertag]</t>
        </is>
      </c>
      <c r="E184" s="2" t="inlineStr">
        <is>
          <t>val100k</t>
        </is>
      </c>
      <c r="F184" s="4" t="inlineStr">
        <is>
          <t>T1</t>
        </is>
      </c>
      <c r="G184" s="5" t="n">
        <v>20000</v>
      </c>
      <c r="H184" s="6" t="n">
        <v>0.9961</v>
      </c>
      <c r="I184" s="6" t="n">
        <v>0.993</v>
      </c>
      <c r="J184" s="6" t="n">
        <v>0.9746</v>
      </c>
      <c r="K184" s="7">
        <f>IF(OR(L184="",L184=0),"",1000/L184)</f>
        <v/>
      </c>
      <c r="L184" s="8" t="n">
        <v>1.341</v>
      </c>
      <c r="M184" s="4" t="inlineStr">
        <is>
          <t>R1.176</t>
        </is>
      </c>
      <c r="N184" s="9">
        <f>IFERROR(IF(P184&lt;&gt;"",IF(INDEX($P$2:$P$417,MATCH($M184,$A$2:$A$417,0))="","",P184-INDEX($P$2:$P$417,MATCH($M184,$A$2:$A$417,0))),IF(H184&lt;&gt;"",IF(INDEX($H$2:$H$417,MATCH($M184,$A$2:$A$417,0))="","",H184-INDEX($H$2:$H$417,MATCH($M184,$A$2:$A$417,0))),IF(O184&lt;&gt;"",IF(INDEX($O$2:$O$417,MATCH($M184,$A$2:$A$417,0))="","",O184-INDEX($O$2:$O$417,MATCH($M184,$A$2:$A$417,0))),IF(Q184&lt;&gt;"",IF(INDEX($Q$2:$Q$417,MATCH($M184,$A$2:$A$417,0))="","",Q184-INDEX($Q$2:$Q$417,MATCH($M184,$A$2:$A$417,0))),"")))),"")</f>
        <v/>
      </c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10" t="n"/>
      <c r="Z184" s="10" t="n"/>
      <c r="AA184" s="6" t="n"/>
      <c r="AB184" s="11" t="inlineStr">
        <is>
          <t>corpus mix train100k+govdocs2_80+datax, threshold=per_tag; 95008 documents kept</t>
        </is>
      </c>
      <c r="AC184" s="11" t="n"/>
    </row>
    <row r="185" ht="28" customHeight="1">
      <c r="A185" s="12" t="inlineStr">
        <is>
          <t>R1.184</t>
        </is>
      </c>
      <c r="B185" s="13" t="n">
        <v>46254</v>
      </c>
      <c r="C185" s="12" t="inlineStr">
        <is>
          <t>sensitive</t>
        </is>
      </c>
      <c r="D185" s="12" t="inlineStr">
        <is>
          <t>tl17_base + head[c_all_w0.5]</t>
        </is>
      </c>
      <c r="E185" s="12" t="inlineStr">
        <is>
          <t>val100k</t>
        </is>
      </c>
      <c r="F185" s="14" t="inlineStr">
        <is>
          <t>T1</t>
        </is>
      </c>
      <c r="G185" s="15" t="n">
        <v>20000</v>
      </c>
      <c r="H185" s="16" t="n">
        <v>0.9958</v>
      </c>
      <c r="I185" s="16" t="n">
        <v>0.9927</v>
      </c>
      <c r="J185" s="16" t="n">
        <v>0.9757</v>
      </c>
      <c r="K185" s="17">
        <f>IF(OR(L185="",L185=0),"",1000/L185)</f>
        <v/>
      </c>
      <c r="L185" s="18" t="n">
        <v>1.341</v>
      </c>
      <c r="M185" s="14" t="inlineStr">
        <is>
          <t>R1.176</t>
        </is>
      </c>
      <c r="N185" s="19">
        <f>IFERROR(IF(P185&lt;&gt;"",IF(INDEX($P$2:$P$417,MATCH($M185,$A$2:$A$417,0))="","",P185-INDEX($P$2:$P$417,MATCH($M185,$A$2:$A$417,0))),IF(H185&lt;&gt;"",IF(INDEX($H$2:$H$417,MATCH($M185,$A$2:$A$417,0))="","",H185-INDEX($H$2:$H$417,MATCH($M185,$A$2:$A$417,0))),IF(O185&lt;&gt;"",IF(INDEX($O$2:$O$417,MATCH($M185,$A$2:$A$417,0))="","",O185-INDEX($O$2:$O$417,MATCH($M185,$A$2:$A$417,0))),IF(Q185&lt;&gt;"",IF(INDEX($Q$2:$Q$417,MATCH($M185,$A$2:$A$417,0))="","",Q185-INDEX($Q$2:$Q$417,MATCH($M185,$A$2:$A$417,0))),"")))),"")</f>
        <v/>
      </c>
      <c r="O185" s="16" t="n"/>
      <c r="P185" s="16" t="n"/>
      <c r="Q185" s="16" t="n"/>
      <c r="R185" s="16" t="n"/>
      <c r="S185" s="16" t="n"/>
      <c r="T185" s="16" t="n"/>
      <c r="U185" s="16" t="n"/>
      <c r="V185" s="16" t="n"/>
      <c r="W185" s="16" t="n"/>
      <c r="X185" s="16" t="n"/>
      <c r="Y185" s="20" t="n"/>
      <c r="Z185" s="20" t="n"/>
      <c r="AA185" s="16" t="n"/>
      <c r="AB185" s="21" t="inlineStr">
        <is>
          <t>corpus mix train100k+govdocs2_80+datax, extra_weight=0.5; 95008 documents kept</t>
        </is>
      </c>
      <c r="AC185" s="21" t="n"/>
    </row>
    <row r="186" ht="28" customHeight="1">
      <c r="A186" s="2" t="inlineStr">
        <is>
          <t>R1.185</t>
        </is>
      </c>
      <c r="B186" s="3" t="n">
        <v>46254</v>
      </c>
      <c r="C186" s="2" t="inlineStr">
        <is>
          <t>sensitive</t>
        </is>
      </c>
      <c r="D186" s="2" t="inlineStr">
        <is>
          <t>tl17_base + head[c_all_w2]</t>
        </is>
      </c>
      <c r="E186" s="2" t="inlineStr">
        <is>
          <t>val100k</t>
        </is>
      </c>
      <c r="F186" s="4" t="inlineStr">
        <is>
          <t>T1</t>
        </is>
      </c>
      <c r="G186" s="5" t="n">
        <v>20000</v>
      </c>
      <c r="H186" s="6" t="n">
        <v>0.9957</v>
      </c>
      <c r="I186" s="6" t="n">
        <v>0.9921</v>
      </c>
      <c r="J186" s="6" t="n">
        <v>0.9704</v>
      </c>
      <c r="K186" s="7">
        <f>IF(OR(L186="",L186=0),"",1000/L186)</f>
        <v/>
      </c>
      <c r="L186" s="8" t="n">
        <v>1.341</v>
      </c>
      <c r="M186" s="4" t="inlineStr">
        <is>
          <t>R1.176</t>
        </is>
      </c>
      <c r="N186" s="9">
        <f>IFERROR(IF(P186&lt;&gt;"",IF(INDEX($P$2:$P$417,MATCH($M186,$A$2:$A$417,0))="","",P186-INDEX($P$2:$P$417,MATCH($M186,$A$2:$A$417,0))),IF(H186&lt;&gt;"",IF(INDEX($H$2:$H$417,MATCH($M186,$A$2:$A$417,0))="","",H186-INDEX($H$2:$H$417,MATCH($M186,$A$2:$A$417,0))),IF(O186&lt;&gt;"",IF(INDEX($O$2:$O$417,MATCH($M186,$A$2:$A$417,0))="","",O186-INDEX($O$2:$O$417,MATCH($M186,$A$2:$A$417,0))),IF(Q186&lt;&gt;"",IF(INDEX($Q$2:$Q$417,MATCH($M186,$A$2:$A$417,0))="","",Q186-INDEX($Q$2:$Q$417,MATCH($M186,$A$2:$A$417,0))),"")))),"")</f>
        <v/>
      </c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10" t="n"/>
      <c r="Z186" s="10" t="n"/>
      <c r="AA186" s="6" t="n"/>
      <c r="AB186" s="11" t="inlineStr">
        <is>
          <t>corpus mix train100k+govdocs2_80+datax, extra_weight=2.0; 95008 documents kept</t>
        </is>
      </c>
      <c r="AC186" s="11" t="n"/>
    </row>
    <row r="187" ht="28" customHeight="1">
      <c r="A187" s="12" t="inlineStr">
        <is>
          <t>R1.186</t>
        </is>
      </c>
      <c r="B187" s="13" t="n">
        <v>46254</v>
      </c>
      <c r="C187" s="12" t="inlineStr">
        <is>
          <t>sensitive</t>
        </is>
      </c>
      <c r="D187" s="12" t="inlineStr">
        <is>
          <t>sensitive-ettin17-dualjudge-v1</t>
        </is>
      </c>
      <c r="E187" s="12" t="inlineStr">
        <is>
          <t>datax_eval</t>
        </is>
      </c>
      <c r="F187" s="14" t="inlineStr">
        <is>
          <t>T1</t>
        </is>
      </c>
      <c r="G187" s="15" t="n">
        <v>20000</v>
      </c>
      <c r="H187" s="16" t="n">
        <v>0.6308100929614874</v>
      </c>
      <c r="I187" s="16" t="n">
        <v>0.6308100929614874</v>
      </c>
      <c r="J187" s="16" t="n">
        <v>0.6095617529880478</v>
      </c>
      <c r="K187" s="17" t="n"/>
      <c r="L187" s="18" t="n"/>
      <c r="M187" s="14" t="n"/>
      <c r="N187" s="19">
        <f>IFERROR(IF(P187&lt;&gt;"",IF(INDEX($P$2:$P$417,MATCH($M187,$A$2:$A$417,0))="","",P187-INDEX($P$2:$P$417,MATCH($M187,$A$2:$A$417,0))),IF(H187&lt;&gt;"",IF(INDEX($H$2:$H$417,MATCH($M187,$A$2:$A$417,0))="","",H187-INDEX($H$2:$H$417,MATCH($M187,$A$2:$A$417,0))),IF(O187&lt;&gt;"",IF(INDEX($O$2:$O$417,MATCH($M187,$A$2:$A$417,0))="","",O187-INDEX($O$2:$O$417,MATCH($M187,$A$2:$A$417,0))),IF(Q187&lt;&gt;"",IF(INDEX($Q$2:$Q$417,MATCH($M187,$A$2:$A$417,0))="","",Q187-INDEX($Q$2:$Q$417,MATCH($M187,$A$2:$A$417,0))),"")))),"")</f>
        <v/>
      </c>
      <c r="O187" s="16" t="n"/>
      <c r="P187" s="16" t="n"/>
      <c r="Q187" s="16" t="n"/>
      <c r="R187" s="16" t="n"/>
      <c r="S187" s="16" t="n"/>
      <c r="T187" s="16" t="n"/>
      <c r="U187" s="16" t="n"/>
      <c r="V187" s="16" t="n"/>
      <c r="W187" s="16" t="n"/>
      <c r="X187" s="16" t="n"/>
      <c r="Y187" s="20" t="n"/>
      <c r="Z187" s="20" t="n"/>
      <c r="AA187" s="16" t="n"/>
      <c r="AB187" s="21" t="inlineStr">
        <is>
          <t>the shipped model at its shipped 0.50 threshold, on the same report half</t>
        </is>
      </c>
      <c r="AC187" s="21" t="n"/>
    </row>
    <row r="188" ht="28" customHeight="1">
      <c r="A188" s="2" t="inlineStr">
        <is>
          <t>R1.187</t>
        </is>
      </c>
      <c r="B188" s="3" t="n">
        <v>46254</v>
      </c>
      <c r="C188" s="2" t="inlineStr">
        <is>
          <t>sensitive</t>
        </is>
      </c>
      <c r="D188" s="2" t="inlineStr">
        <is>
          <t>tl17_base + head[c_100k_datax] [s4_c_100k_datax]</t>
        </is>
      </c>
      <c r="E188" s="2" t="inlineStr">
        <is>
          <t>datax_eval</t>
        </is>
      </c>
      <c r="F188" s="4" t="inlineStr">
        <is>
          <t>T1</t>
        </is>
      </c>
      <c r="G188" s="5" t="n">
        <v>20000</v>
      </c>
      <c r="H188" s="6" t="n">
        <v>0.740094022834117</v>
      </c>
      <c r="I188" s="6" t="n">
        <v>0.7387508394895903</v>
      </c>
      <c r="J188" s="6" t="n">
        <v>0.699798522498321</v>
      </c>
      <c r="K188" s="7" t="n"/>
      <c r="L188" s="8" t="n"/>
      <c r="M188" s="4" t="inlineStr">
        <is>
          <t>R1.186</t>
        </is>
      </c>
      <c r="N188" s="9">
        <f>IFERROR(IF(P188&lt;&gt;"",IF(INDEX($P$2:$P$417,MATCH($M188,$A$2:$A$417,0))="","",P188-INDEX($P$2:$P$417,MATCH($M188,$A$2:$A$417,0))),IF(H188&lt;&gt;"",IF(INDEX($H$2:$H$417,MATCH($M188,$A$2:$A$417,0))="","",H188-INDEX($H$2:$H$417,MATCH($M188,$A$2:$A$417,0))),IF(O188&lt;&gt;"",IF(INDEX($O$2:$O$417,MATCH($M188,$A$2:$A$417,0))="","",O188-INDEX($O$2:$O$417,MATCH($M188,$A$2:$A$417,0))),IF(Q188&lt;&gt;"",IF(INDEX($Q$2:$Q$417,MATCH($M188,$A$2:$A$417,0))="","",Q188-INDEX($Q$2:$Q$417,MATCH($M188,$A$2:$A$417,0))),"")))),"")</f>
        <v/>
      </c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10" t="n"/>
      <c r="Z188" s="10" t="n"/>
      <c r="AA188" s="6" t="n"/>
      <c r="AB188" s="11" t="inlineStr">
        <is>
          <t>s4_c_100k_datax at the negative-aware operating point 0.7, chosen on the pick half of datax_eval; scored on the report half</t>
        </is>
      </c>
      <c r="AC188" s="11" t="n"/>
    </row>
    <row r="189" ht="28" customHeight="1">
      <c r="A189" s="12" t="inlineStr">
        <is>
          <t>R1.188</t>
        </is>
      </c>
      <c r="B189" s="13" t="n">
        <v>46254</v>
      </c>
      <c r="C189" s="12" t="inlineStr">
        <is>
          <t>sensitive</t>
        </is>
      </c>
      <c r="D189" s="12" t="inlineStr">
        <is>
          <t>tl17_base + head[c_100k_gov] [s4_c_100k_gov]</t>
        </is>
      </c>
      <c r="E189" s="12" t="inlineStr">
        <is>
          <t>datax_eval</t>
        </is>
      </c>
      <c r="F189" s="14" t="inlineStr">
        <is>
          <t>T1</t>
        </is>
      </c>
      <c r="G189" s="15" t="n">
        <v>20000</v>
      </c>
      <c r="H189" s="16" t="n">
        <v>0.6394984326018809</v>
      </c>
      <c r="I189" s="16" t="n">
        <v>0.6282131661442008</v>
      </c>
      <c r="J189" s="16" t="n">
        <v>0.5755485893416928</v>
      </c>
      <c r="K189" s="17" t="n"/>
      <c r="L189" s="18" t="n"/>
      <c r="M189" s="14" t="inlineStr">
        <is>
          <t>R1.186</t>
        </is>
      </c>
      <c r="N189" s="19">
        <f>IFERROR(IF(P189&lt;&gt;"",IF(INDEX($P$2:$P$417,MATCH($M189,$A$2:$A$417,0))="","",P189-INDEX($P$2:$P$417,MATCH($M189,$A$2:$A$417,0))),IF(H189&lt;&gt;"",IF(INDEX($H$2:$H$417,MATCH($M189,$A$2:$A$417,0))="","",H189-INDEX($H$2:$H$417,MATCH($M189,$A$2:$A$417,0))),IF(O189&lt;&gt;"",IF(INDEX($O$2:$O$417,MATCH($M189,$A$2:$A$417,0))="","",O189-INDEX($O$2:$O$417,MATCH($M189,$A$2:$A$417,0))),IF(Q189&lt;&gt;"",IF(INDEX($Q$2:$Q$417,MATCH($M189,$A$2:$A$417,0))="","",Q189-INDEX($Q$2:$Q$417,MATCH($M189,$A$2:$A$417,0))),"")))),"")</f>
        <v/>
      </c>
      <c r="O189" s="16" t="n"/>
      <c r="P189" s="16" t="n"/>
      <c r="Q189" s="16" t="n"/>
      <c r="R189" s="16" t="n"/>
      <c r="S189" s="16" t="n"/>
      <c r="T189" s="16" t="n"/>
      <c r="U189" s="16" t="n"/>
      <c r="V189" s="16" t="n"/>
      <c r="W189" s="16" t="n"/>
      <c r="X189" s="16" t="n"/>
      <c r="Y189" s="20" t="n"/>
      <c r="Z189" s="20" t="n"/>
      <c r="AA189" s="16" t="n"/>
      <c r="AB189" s="21" t="inlineStr">
        <is>
          <t>s4_c_100k_gov at the negative-aware operating point 0.6, chosen on the pick half of datax_eval; scored on the report half</t>
        </is>
      </c>
      <c r="AC189" s="21" t="n"/>
    </row>
    <row r="190" ht="28" customHeight="1">
      <c r="A190" s="2" t="inlineStr">
        <is>
          <t>R1.189</t>
        </is>
      </c>
      <c r="B190" s="3" t="n">
        <v>46254</v>
      </c>
      <c r="C190" s="2" t="inlineStr">
        <is>
          <t>sensitive</t>
        </is>
      </c>
      <c r="D190" s="2" t="inlineStr">
        <is>
          <t>tl17_base + head[c_all] [s4_c_all]</t>
        </is>
      </c>
      <c r="E190" s="2" t="inlineStr">
        <is>
          <t>datax_eval</t>
        </is>
      </c>
      <c r="F190" s="4" t="inlineStr">
        <is>
          <t>T1</t>
        </is>
      </c>
      <c r="G190" s="5" t="n">
        <v>20000</v>
      </c>
      <c r="H190" s="6" t="n">
        <v>0.7484232655921514</v>
      </c>
      <c r="I190" s="6" t="n">
        <v>0.7456201822004204</v>
      </c>
      <c r="J190" s="6" t="n">
        <v>0.6937631394533987</v>
      </c>
      <c r="K190" s="7" t="n"/>
      <c r="L190" s="8" t="n"/>
      <c r="M190" s="4" t="inlineStr">
        <is>
          <t>R1.186</t>
        </is>
      </c>
      <c r="N190" s="9">
        <f>IFERROR(IF(P190&lt;&gt;"",IF(INDEX($P$2:$P$417,MATCH($M190,$A$2:$A$417,0))="","",P190-INDEX($P$2:$P$417,MATCH($M190,$A$2:$A$417,0))),IF(H190&lt;&gt;"",IF(INDEX($H$2:$H$417,MATCH($M190,$A$2:$A$417,0))="","",H190-INDEX($H$2:$H$417,MATCH($M190,$A$2:$A$417,0))),IF(O190&lt;&gt;"",IF(INDEX($O$2:$O$417,MATCH($M190,$A$2:$A$417,0))="","",O190-INDEX($O$2:$O$417,MATCH($M190,$A$2:$A$417,0))),IF(Q190&lt;&gt;"",IF(INDEX($Q$2:$Q$417,MATCH($M190,$A$2:$A$417,0))="","",Q190-INDEX($Q$2:$Q$417,MATCH($M190,$A$2:$A$417,0))),"")))),"")</f>
        <v/>
      </c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10" t="n"/>
      <c r="Z190" s="10" t="n"/>
      <c r="AA190" s="6" t="n"/>
      <c r="AB190" s="11" t="inlineStr">
        <is>
          <t>s4_c_all at the negative-aware operating point 0.65, chosen on the pick half of datax_eval; scored on the report half</t>
        </is>
      </c>
      <c r="AC190" s="11" t="n"/>
    </row>
    <row r="191" ht="28" customHeight="1">
      <c r="A191" s="12" t="inlineStr">
        <is>
          <t>R1.190</t>
        </is>
      </c>
      <c r="B191" s="13" t="n">
        <v>46254</v>
      </c>
      <c r="C191" s="12" t="inlineStr">
        <is>
          <t>sensitive</t>
        </is>
      </c>
      <c r="D191" s="12" t="inlineStr">
        <is>
          <t>tl17_base + head[c_all_pertag] [s4_c_all_pertag]</t>
        </is>
      </c>
      <c r="E191" s="12" t="inlineStr">
        <is>
          <t>datax_eval</t>
        </is>
      </c>
      <c r="F191" s="14" t="inlineStr">
        <is>
          <t>T1</t>
        </is>
      </c>
      <c r="G191" s="15" t="n">
        <v>20000</v>
      </c>
      <c r="H191" s="16" t="n">
        <v>0.7405441274054412</v>
      </c>
      <c r="I191" s="16" t="n">
        <v>0.7405441274054412</v>
      </c>
      <c r="J191" s="16" t="n">
        <v>0.6901128069011281</v>
      </c>
      <c r="K191" s="17" t="n"/>
      <c r="L191" s="18" t="n"/>
      <c r="M191" s="14" t="inlineStr">
        <is>
          <t>R1.186</t>
        </is>
      </c>
      <c r="N191" s="19">
        <f>IFERROR(IF(P191&lt;&gt;"",IF(INDEX($P$2:$P$417,MATCH($M191,$A$2:$A$417,0))="","",P191-INDEX($P$2:$P$417,MATCH($M191,$A$2:$A$417,0))),IF(H191&lt;&gt;"",IF(INDEX($H$2:$H$417,MATCH($M191,$A$2:$A$417,0))="","",H191-INDEX($H$2:$H$417,MATCH($M191,$A$2:$A$417,0))),IF(O191&lt;&gt;"",IF(INDEX($O$2:$O$417,MATCH($M191,$A$2:$A$417,0))="","",O191-INDEX($O$2:$O$417,MATCH($M191,$A$2:$A$417,0))),IF(Q191&lt;&gt;"",IF(INDEX($Q$2:$Q$417,MATCH($M191,$A$2:$A$417,0))="","",Q191-INDEX($Q$2:$Q$417,MATCH($M191,$A$2:$A$417,0))),"")))),"")</f>
        <v/>
      </c>
      <c r="O191" s="16" t="n"/>
      <c r="P191" s="16" t="n"/>
      <c r="Q191" s="16" t="n"/>
      <c r="R191" s="16" t="n"/>
      <c r="S191" s="16" t="n"/>
      <c r="T191" s="16" t="n"/>
      <c r="U191" s="16" t="n"/>
      <c r="V191" s="16" t="n"/>
      <c r="W191" s="16" t="n"/>
      <c r="X191" s="16" t="n"/>
      <c r="Y191" s="20" t="n"/>
      <c r="Z191" s="20" t="n"/>
      <c r="AA191" s="16" t="n"/>
      <c r="AB191" s="21" t="inlineStr">
        <is>
          <t>s4_c_all_pertag at the negative-aware operating point 0.6, chosen on the pick half of datax_eval; scored on the report half</t>
        </is>
      </c>
      <c r="AC191" s="21" t="n"/>
    </row>
    <row r="192" ht="28" customHeight="1">
      <c r="A192" s="2" t="inlineStr">
        <is>
          <t>R1.191</t>
        </is>
      </c>
      <c r="B192" s="3" t="n">
        <v>46254</v>
      </c>
      <c r="C192" s="2" t="inlineStr">
        <is>
          <t>sensitive</t>
        </is>
      </c>
      <c r="D192" s="2" t="inlineStr">
        <is>
          <t>tl17_base + head[combo_long_pertag] [winner]</t>
        </is>
      </c>
      <c r="E192" s="2" t="inlineStr">
        <is>
          <t>datax_eval</t>
        </is>
      </c>
      <c r="F192" s="4" t="inlineStr">
        <is>
          <t>T1</t>
        </is>
      </c>
      <c r="G192" s="5" t="n">
        <v>20000</v>
      </c>
      <c r="H192" s="6" t="n">
        <v>0.6300191204588911</v>
      </c>
      <c r="I192" s="6" t="n">
        <v>0.5994263862332696</v>
      </c>
      <c r="J192" s="6" t="n">
        <v>0.5019120458891013</v>
      </c>
      <c r="K192" s="7" t="n"/>
      <c r="L192" s="8" t="n"/>
      <c r="M192" s="4" t="inlineStr">
        <is>
          <t>R1.186</t>
        </is>
      </c>
      <c r="N192" s="9">
        <f>IFERROR(IF(P192&lt;&gt;"",IF(INDEX($P$2:$P$417,MATCH($M192,$A$2:$A$417,0))="","",P192-INDEX($P$2:$P$417,MATCH($M192,$A$2:$A$417,0))),IF(H192&lt;&gt;"",IF(INDEX($H$2:$H$417,MATCH($M192,$A$2:$A$417,0))="","",H192-INDEX($H$2:$H$417,MATCH($M192,$A$2:$A$417,0))),IF(O192&lt;&gt;"",IF(INDEX($O$2:$O$417,MATCH($M192,$A$2:$A$417,0))="","",O192-INDEX($O$2:$O$417,MATCH($M192,$A$2:$A$417,0))),IF(Q192&lt;&gt;"",IF(INDEX($Q$2:$Q$417,MATCH($M192,$A$2:$A$417,0))="","",Q192-INDEX($Q$2:$Q$417,MATCH($M192,$A$2:$A$417,0))),"")))),"")</f>
        <v/>
      </c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10" t="n"/>
      <c r="Z192" s="10" t="n"/>
      <c r="AA192" s="6" t="n"/>
      <c r="AB192" s="11" t="inlineStr">
        <is>
          <t>winner at the negative-aware operating point -1, chosen on the pick half of datax_eval; scored on the report half</t>
        </is>
      </c>
      <c r="AC192" s="11" t="n"/>
    </row>
    <row r="193" ht="28" customHeight="1">
      <c r="A193" s="12" t="inlineStr">
        <is>
          <t>R1.192</t>
        </is>
      </c>
      <c r="B193" s="13" t="n">
        <v>46254</v>
      </c>
      <c r="C193" s="12" t="inlineStr">
        <is>
          <t>sensitive</t>
        </is>
      </c>
      <c r="D193" s="12" t="inlineStr">
        <is>
          <t>sensitive-ettin17-dualjudge-v1</t>
        </is>
      </c>
      <c r="E193" s="12" t="inlineStr">
        <is>
          <t>govdocs2_eval20</t>
        </is>
      </c>
      <c r="F193" s="14" t="inlineStr">
        <is>
          <t>T1</t>
        </is>
      </c>
      <c r="G193" s="15" t="n">
        <v>20000</v>
      </c>
      <c r="H193" s="16" t="n">
        <v>0.3667820069204152</v>
      </c>
      <c r="I193" s="16" t="n">
        <v>0.3650519031141868</v>
      </c>
      <c r="J193" s="16" t="n">
        <v>0.3546712802768166</v>
      </c>
      <c r="K193" s="17" t="n"/>
      <c r="L193" s="18" t="n"/>
      <c r="M193" s="14" t="n"/>
      <c r="N193" s="19">
        <f>IFERROR(IF(P193&lt;&gt;"",IF(INDEX($P$2:$P$417,MATCH($M193,$A$2:$A$417,0))="","",P193-INDEX($P$2:$P$417,MATCH($M193,$A$2:$A$417,0))),IF(H193&lt;&gt;"",IF(INDEX($H$2:$H$417,MATCH($M193,$A$2:$A$417,0))="","",H193-INDEX($H$2:$H$417,MATCH($M193,$A$2:$A$417,0))),IF(O193&lt;&gt;"",IF(INDEX($O$2:$O$417,MATCH($M193,$A$2:$A$417,0))="","",O193-INDEX($O$2:$O$417,MATCH($M193,$A$2:$A$417,0))),IF(Q193&lt;&gt;"",IF(INDEX($Q$2:$Q$417,MATCH($M193,$A$2:$A$417,0))="","",Q193-INDEX($Q$2:$Q$417,MATCH($M193,$A$2:$A$417,0))),"")))),"")</f>
        <v/>
      </c>
      <c r="O193" s="16" t="n"/>
      <c r="P193" s="16" t="n"/>
      <c r="Q193" s="16" t="n"/>
      <c r="R193" s="16" t="n"/>
      <c r="S193" s="16" t="n"/>
      <c r="T193" s="16" t="n"/>
      <c r="U193" s="16" t="n"/>
      <c r="V193" s="16" t="n"/>
      <c r="W193" s="16" t="n"/>
      <c r="X193" s="16" t="n"/>
      <c r="Y193" s="20" t="n"/>
      <c r="Z193" s="20" t="n"/>
      <c r="AA193" s="16" t="n"/>
      <c r="AB193" s="21" t="inlineStr">
        <is>
          <t>the shipped model at its shipped 0.50 threshold, on the same report half</t>
        </is>
      </c>
      <c r="AC193" s="21" t="n"/>
    </row>
    <row r="194" ht="28" customHeight="1">
      <c r="A194" s="2" t="inlineStr">
        <is>
          <t>R1.193</t>
        </is>
      </c>
      <c r="B194" s="3" t="n">
        <v>46254</v>
      </c>
      <c r="C194" s="2" t="inlineStr">
        <is>
          <t>sensitive</t>
        </is>
      </c>
      <c r="D194" s="2" t="inlineStr">
        <is>
          <t>tl17_base + head[c_100k_datax] [s4_c_100k_datax]</t>
        </is>
      </c>
      <c r="E194" s="2" t="inlineStr">
        <is>
          <t>govdocs2_eval20</t>
        </is>
      </c>
      <c r="F194" s="4" t="inlineStr">
        <is>
          <t>T1</t>
        </is>
      </c>
      <c r="G194" s="5" t="n">
        <v>20000</v>
      </c>
      <c r="H194" s="6" t="n">
        <v>0.2879036672140121</v>
      </c>
      <c r="I194" s="6" t="n">
        <v>0.2868089764641489</v>
      </c>
      <c r="J194" s="6" t="n">
        <v>0.2671045429666119</v>
      </c>
      <c r="K194" s="7" t="n"/>
      <c r="L194" s="8" t="n"/>
      <c r="M194" s="4" t="inlineStr">
        <is>
          <t>R1.192</t>
        </is>
      </c>
      <c r="N194" s="9">
        <f>IFERROR(IF(P194&lt;&gt;"",IF(INDEX($P$2:$P$417,MATCH($M194,$A$2:$A$417,0))="","",P194-INDEX($P$2:$P$417,MATCH($M194,$A$2:$A$417,0))),IF(H194&lt;&gt;"",IF(INDEX($H$2:$H$417,MATCH($M194,$A$2:$A$417,0))="","",H194-INDEX($H$2:$H$417,MATCH($M194,$A$2:$A$417,0))),IF(O194&lt;&gt;"",IF(INDEX($O$2:$O$417,MATCH($M194,$A$2:$A$417,0))="","",O194-INDEX($O$2:$O$417,MATCH($M194,$A$2:$A$417,0))),IF(Q194&lt;&gt;"",IF(INDEX($Q$2:$Q$417,MATCH($M194,$A$2:$A$417,0))="","",Q194-INDEX($Q$2:$Q$417,MATCH($M194,$A$2:$A$417,0))),"")))),"")</f>
        <v/>
      </c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10" t="n"/>
      <c r="Z194" s="10" t="n"/>
      <c r="AA194" s="6" t="n"/>
      <c r="AB194" s="11" t="inlineStr">
        <is>
          <t>s4_c_100k_datax at the negative-aware operating point 0.7, chosen on the pick half of datax_eval; scored on the report half</t>
        </is>
      </c>
      <c r="AC194" s="11" t="n"/>
    </row>
    <row r="195" ht="28" customHeight="1">
      <c r="A195" s="12" t="inlineStr">
        <is>
          <t>R1.194</t>
        </is>
      </c>
      <c r="B195" s="13" t="n">
        <v>46254</v>
      </c>
      <c r="C195" s="12" t="inlineStr">
        <is>
          <t>sensitive</t>
        </is>
      </c>
      <c r="D195" s="12" t="inlineStr">
        <is>
          <t>tl17_base + head[c_100k_gov] [s4_c_100k_gov]</t>
        </is>
      </c>
      <c r="E195" s="12" t="inlineStr">
        <is>
          <t>govdocs2_eval20</t>
        </is>
      </c>
      <c r="F195" s="14" t="inlineStr">
        <is>
          <t>T1</t>
        </is>
      </c>
      <c r="G195" s="15" t="n">
        <v>20000</v>
      </c>
      <c r="H195" s="16" t="n">
        <v>0.4292321924144311</v>
      </c>
      <c r="I195" s="16" t="n">
        <v>0.425531914893617</v>
      </c>
      <c r="J195" s="16" t="n">
        <v>0.4088806660499538</v>
      </c>
      <c r="K195" s="17" t="n"/>
      <c r="L195" s="18" t="n"/>
      <c r="M195" s="14" t="inlineStr">
        <is>
          <t>R1.192</t>
        </is>
      </c>
      <c r="N195" s="19">
        <f>IFERROR(IF(P195&lt;&gt;"",IF(INDEX($P$2:$P$417,MATCH($M195,$A$2:$A$417,0))="","",P195-INDEX($P$2:$P$417,MATCH($M195,$A$2:$A$417,0))),IF(H195&lt;&gt;"",IF(INDEX($H$2:$H$417,MATCH($M195,$A$2:$A$417,0))="","",H195-INDEX($H$2:$H$417,MATCH($M195,$A$2:$A$417,0))),IF(O195&lt;&gt;"",IF(INDEX($O$2:$O$417,MATCH($M195,$A$2:$A$417,0))="","",O195-INDEX($O$2:$O$417,MATCH($M195,$A$2:$A$417,0))),IF(Q195&lt;&gt;"",IF(INDEX($Q$2:$Q$417,MATCH($M195,$A$2:$A$417,0))="","",Q195-INDEX($Q$2:$Q$417,MATCH($M195,$A$2:$A$417,0))),"")))),"")</f>
        <v/>
      </c>
      <c r="O195" s="16" t="n"/>
      <c r="P195" s="16" t="n"/>
      <c r="Q195" s="16" t="n"/>
      <c r="R195" s="16" t="n"/>
      <c r="S195" s="16" t="n"/>
      <c r="T195" s="16" t="n"/>
      <c r="U195" s="16" t="n"/>
      <c r="V195" s="16" t="n"/>
      <c r="W195" s="16" t="n"/>
      <c r="X195" s="16" t="n"/>
      <c r="Y195" s="20" t="n"/>
      <c r="Z195" s="20" t="n"/>
      <c r="AA195" s="16" t="n"/>
      <c r="AB195" s="21" t="inlineStr">
        <is>
          <t>s4_c_100k_gov at the negative-aware operating point 0.6, chosen on the pick half of datax_eval; scored on the report half</t>
        </is>
      </c>
      <c r="AC195" s="21" t="n"/>
    </row>
    <row r="196" ht="28" customHeight="1">
      <c r="A196" s="2" t="inlineStr">
        <is>
          <t>R1.195</t>
        </is>
      </c>
      <c r="B196" s="3" t="n">
        <v>46254</v>
      </c>
      <c r="C196" s="2" t="inlineStr">
        <is>
          <t>sensitive</t>
        </is>
      </c>
      <c r="D196" s="2" t="inlineStr">
        <is>
          <t>tl17_base + head[c_all] [s4_c_all]</t>
        </is>
      </c>
      <c r="E196" s="2" t="inlineStr">
        <is>
          <t>govdocs2_eval20</t>
        </is>
      </c>
      <c r="F196" s="4" t="inlineStr">
        <is>
          <t>T1</t>
        </is>
      </c>
      <c r="G196" s="5" t="n">
        <v>20000</v>
      </c>
      <c r="H196" s="6" t="n">
        <v>0.4518134715025907</v>
      </c>
      <c r="I196" s="6" t="n">
        <v>0.4518134715025907</v>
      </c>
      <c r="J196" s="6" t="n">
        <v>0.4352331606217616</v>
      </c>
      <c r="K196" s="7" t="n"/>
      <c r="L196" s="8" t="n"/>
      <c r="M196" s="4" t="inlineStr">
        <is>
          <t>R1.192</t>
        </is>
      </c>
      <c r="N196" s="9">
        <f>IFERROR(IF(P196&lt;&gt;"",IF(INDEX($P$2:$P$417,MATCH($M196,$A$2:$A$417,0))="","",P196-INDEX($P$2:$P$417,MATCH($M196,$A$2:$A$417,0))),IF(H196&lt;&gt;"",IF(INDEX($H$2:$H$417,MATCH($M196,$A$2:$A$417,0))="","",H196-INDEX($H$2:$H$417,MATCH($M196,$A$2:$A$417,0))),IF(O196&lt;&gt;"",IF(INDEX($O$2:$O$417,MATCH($M196,$A$2:$A$417,0))="","",O196-INDEX($O$2:$O$417,MATCH($M196,$A$2:$A$417,0))),IF(Q196&lt;&gt;"",IF(INDEX($Q$2:$Q$417,MATCH($M196,$A$2:$A$417,0))="","",Q196-INDEX($Q$2:$Q$417,MATCH($M196,$A$2:$A$417,0))),"")))),"")</f>
        <v/>
      </c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10" t="n"/>
      <c r="Z196" s="10" t="n"/>
      <c r="AA196" s="6" t="n"/>
      <c r="AB196" s="11" t="inlineStr">
        <is>
          <t>s4_c_all at the negative-aware operating point 0.65, chosen on the pick half of datax_eval; scored on the report half</t>
        </is>
      </c>
      <c r="AC196" s="11" t="n"/>
    </row>
    <row r="197" ht="28" customHeight="1">
      <c r="A197" s="12" t="inlineStr">
        <is>
          <t>R1.196</t>
        </is>
      </c>
      <c r="B197" s="13" t="n">
        <v>46254</v>
      </c>
      <c r="C197" s="12" t="inlineStr">
        <is>
          <t>sensitive</t>
        </is>
      </c>
      <c r="D197" s="12" t="inlineStr">
        <is>
          <t>tl17_base + head[c_all_pertag] [s4_c_all_pertag]</t>
        </is>
      </c>
      <c r="E197" s="12" t="inlineStr">
        <is>
          <t>govdocs2_eval20</t>
        </is>
      </c>
      <c r="F197" s="14" t="inlineStr">
        <is>
          <t>T1</t>
        </is>
      </c>
      <c r="G197" s="15" t="n">
        <v>20000</v>
      </c>
      <c r="H197" s="16" t="n">
        <v>0.4090909090909091</v>
      </c>
      <c r="I197" s="16" t="n">
        <v>0.4073426573426574</v>
      </c>
      <c r="J197" s="16" t="n">
        <v>0.3951048951048951</v>
      </c>
      <c r="K197" s="17" t="n"/>
      <c r="L197" s="18" t="n"/>
      <c r="M197" s="14" t="inlineStr">
        <is>
          <t>R1.192</t>
        </is>
      </c>
      <c r="N197" s="19">
        <f>IFERROR(IF(P197&lt;&gt;"",IF(INDEX($P$2:$P$417,MATCH($M197,$A$2:$A$417,0))="","",P197-INDEX($P$2:$P$417,MATCH($M197,$A$2:$A$417,0))),IF(H197&lt;&gt;"",IF(INDEX($H$2:$H$417,MATCH($M197,$A$2:$A$417,0))="","",H197-INDEX($H$2:$H$417,MATCH($M197,$A$2:$A$417,0))),IF(O197&lt;&gt;"",IF(INDEX($O$2:$O$417,MATCH($M197,$A$2:$A$417,0))="","",O197-INDEX($O$2:$O$417,MATCH($M197,$A$2:$A$417,0))),IF(Q197&lt;&gt;"",IF(INDEX($Q$2:$Q$417,MATCH($M197,$A$2:$A$417,0))="","",Q197-INDEX($Q$2:$Q$417,MATCH($M197,$A$2:$A$417,0))),"")))),"")</f>
        <v/>
      </c>
      <c r="O197" s="16" t="n"/>
      <c r="P197" s="16" t="n"/>
      <c r="Q197" s="16" t="n"/>
      <c r="R197" s="16" t="n"/>
      <c r="S197" s="16" t="n"/>
      <c r="T197" s="16" t="n"/>
      <c r="U197" s="16" t="n"/>
      <c r="V197" s="16" t="n"/>
      <c r="W197" s="16" t="n"/>
      <c r="X197" s="16" t="n"/>
      <c r="Y197" s="20" t="n"/>
      <c r="Z197" s="20" t="n"/>
      <c r="AA197" s="16" t="n"/>
      <c r="AB197" s="21" t="inlineStr">
        <is>
          <t>s4_c_all_pertag at the negative-aware operating point 0.6, chosen on the pick half of datax_eval; scored on the report half</t>
        </is>
      </c>
      <c r="AC197" s="21" t="n"/>
    </row>
    <row r="198" ht="28" customHeight="1">
      <c r="A198" s="2" t="inlineStr">
        <is>
          <t>R1.197</t>
        </is>
      </c>
      <c r="B198" s="3" t="n">
        <v>46254</v>
      </c>
      <c r="C198" s="2" t="inlineStr">
        <is>
          <t>sensitive</t>
        </is>
      </c>
      <c r="D198" s="2" t="inlineStr">
        <is>
          <t>tl17_base + head[combo_long_pertag] [winner]</t>
        </is>
      </c>
      <c r="E198" s="2" t="inlineStr">
        <is>
          <t>govdocs2_eval20</t>
        </is>
      </c>
      <c r="F198" s="4" t="inlineStr">
        <is>
          <t>T1</t>
        </is>
      </c>
      <c r="G198" s="5" t="n">
        <v>20000</v>
      </c>
      <c r="H198" s="6" t="n">
        <v>0.2957600827300931</v>
      </c>
      <c r="I198" s="6" t="n">
        <v>0.2885211995863495</v>
      </c>
      <c r="J198" s="6" t="n">
        <v>0.2616339193381593</v>
      </c>
      <c r="K198" s="7" t="n"/>
      <c r="L198" s="8" t="n"/>
      <c r="M198" s="4" t="inlineStr">
        <is>
          <t>R1.192</t>
        </is>
      </c>
      <c r="N198" s="9">
        <f>IFERROR(IF(P198&lt;&gt;"",IF(INDEX($P$2:$P$417,MATCH($M198,$A$2:$A$417,0))="","",P198-INDEX($P$2:$P$417,MATCH($M198,$A$2:$A$417,0))),IF(H198&lt;&gt;"",IF(INDEX($H$2:$H$417,MATCH($M198,$A$2:$A$417,0))="","",H198-INDEX($H$2:$H$417,MATCH($M198,$A$2:$A$417,0))),IF(O198&lt;&gt;"",IF(INDEX($O$2:$O$417,MATCH($M198,$A$2:$A$417,0))="","",O198-INDEX($O$2:$O$417,MATCH($M198,$A$2:$A$417,0))),IF(Q198&lt;&gt;"",IF(INDEX($Q$2:$Q$417,MATCH($M198,$A$2:$A$417,0))="","",Q198-INDEX($Q$2:$Q$417,MATCH($M198,$A$2:$A$417,0))),"")))),"")</f>
        <v/>
      </c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10" t="n"/>
      <c r="Z198" s="10" t="n"/>
      <c r="AA198" s="6" t="n"/>
      <c r="AB198" s="11" t="inlineStr">
        <is>
          <t>winner at the negative-aware operating point -1, chosen on the pick half of datax_eval; scored on the report half</t>
        </is>
      </c>
      <c r="AC198" s="11" t="n"/>
    </row>
    <row r="199" ht="28" customHeight="1">
      <c r="A199" s="12" t="inlineStr">
        <is>
          <t>R1.198</t>
        </is>
      </c>
      <c r="B199" s="13" t="n">
        <v>46254</v>
      </c>
      <c r="C199" s="12" t="inlineStr">
        <is>
          <t>sensitive</t>
        </is>
      </c>
      <c r="D199" s="12" t="inlineStr">
        <is>
          <t>sensitive-ettin17-dualjudge-v1</t>
        </is>
      </c>
      <c r="E199" s="12" t="inlineStr">
        <is>
          <t>holdout20k</t>
        </is>
      </c>
      <c r="F199" s="14" t="inlineStr">
        <is>
          <t>T1</t>
        </is>
      </c>
      <c r="G199" s="15" t="n">
        <v>20000</v>
      </c>
      <c r="H199" s="16" t="n">
        <v>0.5389361999162363</v>
      </c>
      <c r="I199" s="16" t="n">
        <v>0.538210247103169</v>
      </c>
      <c r="J199" s="16" t="n">
        <v>0.3680022337009633</v>
      </c>
      <c r="K199" s="17" t="n"/>
      <c r="L199" s="18" t="n"/>
      <c r="M199" s="14" t="n"/>
      <c r="N199" s="19">
        <f>IFERROR(IF(P199&lt;&gt;"",IF(INDEX($P$2:$P$417,MATCH($M199,$A$2:$A$417,0))="","",P199-INDEX($P$2:$P$417,MATCH($M199,$A$2:$A$417,0))),IF(H199&lt;&gt;"",IF(INDEX($H$2:$H$417,MATCH($M199,$A$2:$A$417,0))="","",H199-INDEX($H$2:$H$417,MATCH($M199,$A$2:$A$417,0))),IF(O199&lt;&gt;"",IF(INDEX($O$2:$O$417,MATCH($M199,$A$2:$A$417,0))="","",O199-INDEX($O$2:$O$417,MATCH($M199,$A$2:$A$417,0))),IF(Q199&lt;&gt;"",IF(INDEX($Q$2:$Q$417,MATCH($M199,$A$2:$A$417,0))="","",Q199-INDEX($Q$2:$Q$417,MATCH($M199,$A$2:$A$417,0))),"")))),"")</f>
        <v/>
      </c>
      <c r="O199" s="16" t="n"/>
      <c r="P199" s="16" t="n"/>
      <c r="Q199" s="16" t="n"/>
      <c r="R199" s="16" t="n"/>
      <c r="S199" s="16" t="n"/>
      <c r="T199" s="16" t="n"/>
      <c r="U199" s="16" t="n"/>
      <c r="V199" s="16" t="n"/>
      <c r="W199" s="16" t="n"/>
      <c r="X199" s="16" t="n"/>
      <c r="Y199" s="20" t="n"/>
      <c r="Z199" s="20" t="n"/>
      <c r="AA199" s="16" t="n"/>
      <c r="AB199" s="21" t="inlineStr">
        <is>
          <t>the shipped model at its shipped 0.50 threshold, on the same report half</t>
        </is>
      </c>
      <c r="AC199" s="21" t="n"/>
    </row>
    <row r="200" ht="28" customHeight="1">
      <c r="A200" s="2" t="inlineStr">
        <is>
          <t>R1.199</t>
        </is>
      </c>
      <c r="B200" s="3" t="n">
        <v>46254</v>
      </c>
      <c r="C200" s="2" t="inlineStr">
        <is>
          <t>sensitive</t>
        </is>
      </c>
      <c r="D200" s="2" t="inlineStr">
        <is>
          <t>tl17_base + head[c_100k_datax] [s4_c_100k_datax]</t>
        </is>
      </c>
      <c r="E200" s="2" t="inlineStr">
        <is>
          <t>holdout20k</t>
        </is>
      </c>
      <c r="F200" s="4" t="inlineStr">
        <is>
          <t>T1</t>
        </is>
      </c>
      <c r="G200" s="5" t="n">
        <v>20000</v>
      </c>
      <c r="H200" s="6" t="n">
        <v>0.9836949673647336</v>
      </c>
      <c r="I200" s="6" t="n">
        <v>0.9834933595423503</v>
      </c>
      <c r="J200" s="6" t="n">
        <v>0.9740177918903253</v>
      </c>
      <c r="K200" s="7" t="n"/>
      <c r="L200" s="8" t="n"/>
      <c r="M200" s="4" t="inlineStr">
        <is>
          <t>R1.198</t>
        </is>
      </c>
      <c r="N200" s="9">
        <f>IFERROR(IF(P200&lt;&gt;"",IF(INDEX($P$2:$P$417,MATCH($M200,$A$2:$A$417,0))="","",P200-INDEX($P$2:$P$417,MATCH($M200,$A$2:$A$417,0))),IF(H200&lt;&gt;"",IF(INDEX($H$2:$H$417,MATCH($M200,$A$2:$A$417,0))="","",H200-INDEX($H$2:$H$417,MATCH($M200,$A$2:$A$417,0))),IF(O200&lt;&gt;"",IF(INDEX($O$2:$O$417,MATCH($M200,$A$2:$A$417,0))="","",O200-INDEX($O$2:$O$417,MATCH($M200,$A$2:$A$417,0))),IF(Q200&lt;&gt;"",IF(INDEX($Q$2:$Q$417,MATCH($M200,$A$2:$A$417,0))="","",Q200-INDEX($Q$2:$Q$417,MATCH($M200,$A$2:$A$417,0))),"")))),"")</f>
        <v/>
      </c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10" t="n"/>
      <c r="Z200" s="10" t="n"/>
      <c r="AA200" s="6" t="n"/>
      <c r="AB200" s="11" t="inlineStr">
        <is>
          <t>s4_c_100k_datax at the negative-aware operating point 0.7, chosen on the pick half of datax_eval; scored on the report half</t>
        </is>
      </c>
      <c r="AC200" s="11" t="n"/>
    </row>
    <row r="201" ht="28" customHeight="1">
      <c r="A201" s="12" t="inlineStr">
        <is>
          <t>R1.200</t>
        </is>
      </c>
      <c r="B201" s="13" t="n">
        <v>46254</v>
      </c>
      <c r="C201" s="12" t="inlineStr">
        <is>
          <t>sensitive</t>
        </is>
      </c>
      <c r="D201" s="12" t="inlineStr">
        <is>
          <t>tl17_base + head[c_100k_gov] [s4_c_100k_gov]</t>
        </is>
      </c>
      <c r="E201" s="12" t="inlineStr">
        <is>
          <t>holdout20k</t>
        </is>
      </c>
      <c r="F201" s="14" t="inlineStr">
        <is>
          <t>T1</t>
        </is>
      </c>
      <c r="G201" s="15" t="n">
        <v>20000</v>
      </c>
      <c r="H201" s="16" t="n">
        <v>0.9788441561731991</v>
      </c>
      <c r="I201" s="16" t="n">
        <v>0.9781347386556538</v>
      </c>
      <c r="J201" s="16" t="n">
        <v>0.9682535660898427</v>
      </c>
      <c r="K201" s="17" t="n"/>
      <c r="L201" s="18" t="n"/>
      <c r="M201" s="14" t="inlineStr">
        <is>
          <t>R1.198</t>
        </is>
      </c>
      <c r="N201" s="19">
        <f>IFERROR(IF(P201&lt;&gt;"",IF(INDEX($P$2:$P$417,MATCH($M201,$A$2:$A$417,0))="","",P201-INDEX($P$2:$P$417,MATCH($M201,$A$2:$A$417,0))),IF(H201&lt;&gt;"",IF(INDEX($H$2:$H$417,MATCH($M201,$A$2:$A$417,0))="","",H201-INDEX($H$2:$H$417,MATCH($M201,$A$2:$A$417,0))),IF(O201&lt;&gt;"",IF(INDEX($O$2:$O$417,MATCH($M201,$A$2:$A$417,0))="","",O201-INDEX($O$2:$O$417,MATCH($M201,$A$2:$A$417,0))),IF(Q201&lt;&gt;"",IF(INDEX($Q$2:$Q$417,MATCH($M201,$A$2:$A$417,0))="","",Q201-INDEX($Q$2:$Q$417,MATCH($M201,$A$2:$A$417,0))),"")))),"")</f>
        <v/>
      </c>
      <c r="O201" s="16" t="n"/>
      <c r="P201" s="16" t="n"/>
      <c r="Q201" s="16" t="n"/>
      <c r="R201" s="16" t="n"/>
      <c r="S201" s="16" t="n"/>
      <c r="T201" s="16" t="n"/>
      <c r="U201" s="16" t="n"/>
      <c r="V201" s="16" t="n"/>
      <c r="W201" s="16" t="n"/>
      <c r="X201" s="16" t="n"/>
      <c r="Y201" s="20" t="n"/>
      <c r="Z201" s="20" t="n"/>
      <c r="AA201" s="16" t="n"/>
      <c r="AB201" s="21" t="inlineStr">
        <is>
          <t>s4_c_100k_gov at the negative-aware operating point 0.6, chosen on the pick half of datax_eval; scored on the report half</t>
        </is>
      </c>
      <c r="AC201" s="21" t="n"/>
    </row>
    <row r="202" ht="28" customHeight="1">
      <c r="A202" s="2" t="inlineStr">
        <is>
          <t>R1.201</t>
        </is>
      </c>
      <c r="B202" s="3" t="n">
        <v>46254</v>
      </c>
      <c r="C202" s="2" t="inlineStr">
        <is>
          <t>sensitive</t>
        </is>
      </c>
      <c r="D202" s="2" t="inlineStr">
        <is>
          <t>tl17_base + head[c_all] [s4_c_all]</t>
        </is>
      </c>
      <c r="E202" s="2" t="inlineStr">
        <is>
          <t>holdout20k</t>
        </is>
      </c>
      <c r="F202" s="4" t="inlineStr">
        <is>
          <t>T1</t>
        </is>
      </c>
      <c r="G202" s="5" t="n">
        <v>20000</v>
      </c>
      <c r="H202" s="6" t="n">
        <v>0.9766508295434335</v>
      </c>
      <c r="I202" s="6" t="n">
        <v>0.9763967580477145</v>
      </c>
      <c r="J202" s="6" t="n">
        <v>0.966894484107828</v>
      </c>
      <c r="K202" s="7" t="n"/>
      <c r="L202" s="8" t="n"/>
      <c r="M202" s="4" t="inlineStr">
        <is>
          <t>R1.198</t>
        </is>
      </c>
      <c r="N202" s="9">
        <f>IFERROR(IF(P202&lt;&gt;"",IF(INDEX($P$2:$P$417,MATCH($M202,$A$2:$A$417,0))="","",P202-INDEX($P$2:$P$417,MATCH($M202,$A$2:$A$417,0))),IF(H202&lt;&gt;"",IF(INDEX($H$2:$H$417,MATCH($M202,$A$2:$A$417,0))="","",H202-INDEX($H$2:$H$417,MATCH($M202,$A$2:$A$417,0))),IF(O202&lt;&gt;"",IF(INDEX($O$2:$O$417,MATCH($M202,$A$2:$A$417,0))="","",O202-INDEX($O$2:$O$417,MATCH($M202,$A$2:$A$417,0))),IF(Q202&lt;&gt;"",IF(INDEX($Q$2:$Q$417,MATCH($M202,$A$2:$A$417,0))="","",Q202-INDEX($Q$2:$Q$417,MATCH($M202,$A$2:$A$417,0))),"")))),"")</f>
        <v/>
      </c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10" t="n"/>
      <c r="Z202" s="10" t="n"/>
      <c r="AA202" s="6" t="n"/>
      <c r="AB202" s="11" t="inlineStr">
        <is>
          <t>s4_c_all at the negative-aware operating point 0.65, chosen on the pick half of datax_eval; scored on the report half</t>
        </is>
      </c>
      <c r="AC202" s="11" t="n"/>
    </row>
    <row r="203" ht="28" customHeight="1">
      <c r="A203" s="12" t="inlineStr">
        <is>
          <t>R1.202</t>
        </is>
      </c>
      <c r="B203" s="13" t="n">
        <v>46254</v>
      </c>
      <c r="C203" s="12" t="inlineStr">
        <is>
          <t>sensitive</t>
        </is>
      </c>
      <c r="D203" s="12" t="inlineStr">
        <is>
          <t>tl17_base + head[c_all_pertag] [s4_c_all_pertag]</t>
        </is>
      </c>
      <c r="E203" s="12" t="inlineStr">
        <is>
          <t>holdout20k</t>
        </is>
      </c>
      <c r="F203" s="14" t="inlineStr">
        <is>
          <t>T1</t>
        </is>
      </c>
      <c r="G203" s="15" t="n">
        <v>20000</v>
      </c>
      <c r="H203" s="16" t="n">
        <v>0.9825101582414254</v>
      </c>
      <c r="I203" s="16" t="n">
        <v>0.9821063523710976</v>
      </c>
      <c r="J203" s="16" t="n">
        <v>0.970799788001918</v>
      </c>
      <c r="K203" s="17" t="n"/>
      <c r="L203" s="18" t="n"/>
      <c r="M203" s="14" t="inlineStr">
        <is>
          <t>R1.198</t>
        </is>
      </c>
      <c r="N203" s="19">
        <f>IFERROR(IF(P203&lt;&gt;"",IF(INDEX($P$2:$P$417,MATCH($M203,$A$2:$A$417,0))="","",P203-INDEX($P$2:$P$417,MATCH($M203,$A$2:$A$417,0))),IF(H203&lt;&gt;"",IF(INDEX($H$2:$H$417,MATCH($M203,$A$2:$A$417,0))="","",H203-INDEX($H$2:$H$417,MATCH($M203,$A$2:$A$417,0))),IF(O203&lt;&gt;"",IF(INDEX($O$2:$O$417,MATCH($M203,$A$2:$A$417,0))="","",O203-INDEX($O$2:$O$417,MATCH($M203,$A$2:$A$417,0))),IF(Q203&lt;&gt;"",IF(INDEX($Q$2:$Q$417,MATCH($M203,$A$2:$A$417,0))="","",Q203-INDEX($Q$2:$Q$417,MATCH($M203,$A$2:$A$417,0))),"")))),"")</f>
        <v/>
      </c>
      <c r="O203" s="16" t="n"/>
      <c r="P203" s="16" t="n"/>
      <c r="Q203" s="16" t="n"/>
      <c r="R203" s="16" t="n"/>
      <c r="S203" s="16" t="n"/>
      <c r="T203" s="16" t="n"/>
      <c r="U203" s="16" t="n"/>
      <c r="V203" s="16" t="n"/>
      <c r="W203" s="16" t="n"/>
      <c r="X203" s="16" t="n"/>
      <c r="Y203" s="20" t="n"/>
      <c r="Z203" s="20" t="n"/>
      <c r="AA203" s="16" t="n"/>
      <c r="AB203" s="21" t="inlineStr">
        <is>
          <t>s4_c_all_pertag at the negative-aware operating point 0.6, chosen on the pick half of datax_eval; scored on the report half</t>
        </is>
      </c>
      <c r="AC203" s="21" t="n"/>
    </row>
    <row r="204" ht="28" customHeight="1">
      <c r="A204" s="2" t="inlineStr">
        <is>
          <t>R1.203</t>
        </is>
      </c>
      <c r="B204" s="3" t="n">
        <v>46254</v>
      </c>
      <c r="C204" s="2" t="inlineStr">
        <is>
          <t>sensitive</t>
        </is>
      </c>
      <c r="D204" s="2" t="inlineStr">
        <is>
          <t>tl17_base + head[combo_long_pertag] [winner]</t>
        </is>
      </c>
      <c r="E204" s="2" t="inlineStr">
        <is>
          <t>holdout20k</t>
        </is>
      </c>
      <c r="F204" s="4" t="inlineStr">
        <is>
          <t>T1</t>
        </is>
      </c>
      <c r="G204" s="5" t="n">
        <v>20000</v>
      </c>
      <c r="H204" s="6" t="n">
        <v>0.99755</v>
      </c>
      <c r="I204" s="6" t="n">
        <v>0.99415</v>
      </c>
      <c r="J204" s="6" t="n">
        <v>0.9771</v>
      </c>
      <c r="K204" s="7" t="n"/>
      <c r="L204" s="8" t="n"/>
      <c r="M204" s="4" t="inlineStr">
        <is>
          <t>R1.198</t>
        </is>
      </c>
      <c r="N204" s="9">
        <f>IFERROR(IF(P204&lt;&gt;"",IF(INDEX($P$2:$P$417,MATCH($M204,$A$2:$A$417,0))="","",P204-INDEX($P$2:$P$417,MATCH($M204,$A$2:$A$417,0))),IF(H204&lt;&gt;"",IF(INDEX($H$2:$H$417,MATCH($M204,$A$2:$A$417,0))="","",H204-INDEX($H$2:$H$417,MATCH($M204,$A$2:$A$417,0))),IF(O204&lt;&gt;"",IF(INDEX($O$2:$O$417,MATCH($M204,$A$2:$A$417,0))="","",O204-INDEX($O$2:$O$417,MATCH($M204,$A$2:$A$417,0))),IF(Q204&lt;&gt;"",IF(INDEX($Q$2:$Q$417,MATCH($M204,$A$2:$A$417,0))="","",Q204-INDEX($Q$2:$Q$417,MATCH($M204,$A$2:$A$417,0))),"")))),"")</f>
        <v/>
      </c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10" t="n"/>
      <c r="Z204" s="10" t="n"/>
      <c r="AA204" s="6" t="n"/>
      <c r="AB204" s="11" t="inlineStr">
        <is>
          <t>winner at the negative-aware operating point -1, chosen on the pick half of datax_eval; scored on the report half</t>
        </is>
      </c>
      <c r="AC204" s="11" t="n"/>
    </row>
    <row r="205" ht="28" customHeight="1">
      <c r="A205" s="12" t="inlineStr">
        <is>
          <t>R2.1</t>
        </is>
      </c>
      <c r="B205" s="13" t="n">
        <v>46254</v>
      </c>
      <c r="C205" s="12" t="inlineStr">
        <is>
          <t>sensitive</t>
        </is>
      </c>
      <c r="D205" s="12" t="inlineStr">
        <is>
          <t>sensitive-pii-m2v-mixed-v2 [global_repicked]</t>
        </is>
      </c>
      <c r="E205" s="12" t="inlineStr">
        <is>
          <t>datax_eval</t>
        </is>
      </c>
      <c r="F205" s="14" t="inlineStr">
        <is>
          <t>T1</t>
        </is>
      </c>
      <c r="G205" s="15" t="n">
        <v>20000</v>
      </c>
      <c r="H205" s="16" t="n">
        <v>0.7472687545520758</v>
      </c>
      <c r="I205" s="16" t="n">
        <v>0.7458120903131829</v>
      </c>
      <c r="J205" s="16" t="n">
        <v>0.696285506190823</v>
      </c>
      <c r="K205" s="17">
        <f>IF(OR(L205="",L205=0),"",1000/L205)</f>
        <v/>
      </c>
      <c r="L205" s="18" t="n">
        <v>1.383</v>
      </c>
      <c r="M205" s="14" t="inlineStr">
        <is>
          <t>sensitive-pii-m2v-mixed-v2 [s4_c_all]</t>
        </is>
      </c>
      <c r="N205" s="19">
        <f>IFERROR(IF(P205&lt;&gt;"",IF(INDEX($P$2:$P$417,MATCH($M205,$A$2:$A$417,0))="","",P205-INDEX($P$2:$P$417,MATCH($M205,$A$2:$A$417,0))),IF(H205&lt;&gt;"",IF(INDEX($H$2:$H$417,MATCH($M205,$A$2:$A$417,0))="","",H205-INDEX($H$2:$H$417,MATCH($M205,$A$2:$A$417,0))),IF(O205&lt;&gt;"",IF(INDEX($O$2:$O$417,MATCH($M205,$A$2:$A$417,0))="","",O205-INDEX($O$2:$O$417,MATCH($M205,$A$2:$A$417,0))),IF(Q205&lt;&gt;"",IF(INDEX($Q$2:$Q$417,MATCH($M205,$A$2:$A$417,0))="","",Q205-INDEX($Q$2:$Q$417,MATCH($M205,$A$2:$A$417,0))),"")))),"")</f>
        <v/>
      </c>
      <c r="O205" s="16" t="n"/>
      <c r="P205" s="16" t="n"/>
      <c r="Q205" s="16" t="n"/>
      <c r="R205" s="16" t="n"/>
      <c r="S205" s="16" t="n"/>
      <c r="T205" s="16" t="n"/>
      <c r="U205" s="16" t="n"/>
      <c r="V205" s="16" t="n"/>
      <c r="W205" s="16" t="n"/>
      <c r="X205" s="16" t="n"/>
      <c r="Y205" s="20" t="n"/>
      <c r="Z205" s="20" t="n"/>
      <c r="AA205" s="16" t="n"/>
      <c r="AB205" s="21" t="inlineStr">
        <is>
          <t>one global cut of 0.7, re-picked on the pick halves of datax_eval + govdocs2_eval20 (2023 of 3023 documents clean)</t>
        </is>
      </c>
      <c r="AC205" s="21" t="n"/>
    </row>
    <row r="206" ht="28" customHeight="1">
      <c r="A206" s="2" t="inlineStr">
        <is>
          <t>R2.2</t>
        </is>
      </c>
      <c r="B206" s="3" t="n">
        <v>46254</v>
      </c>
      <c r="C206" s="2" t="inlineStr">
        <is>
          <t>sensitive</t>
        </is>
      </c>
      <c r="D206" s="2" t="inlineStr">
        <is>
          <t>sensitive-pii-m2v-mixed-v2 [global_repicked]</t>
        </is>
      </c>
      <c r="E206" s="2" t="inlineStr">
        <is>
          <t>govdocs2_eval20</t>
        </is>
      </c>
      <c r="F206" s="4" t="inlineStr">
        <is>
          <t>T1</t>
        </is>
      </c>
      <c r="G206" s="5" t="n">
        <v>20000</v>
      </c>
      <c r="H206" s="6" t="n">
        <v>0.4665911664779163</v>
      </c>
      <c r="I206" s="6" t="n">
        <v>0.4665911664779163</v>
      </c>
      <c r="J206" s="6" t="n">
        <v>0.4575311438278595</v>
      </c>
      <c r="K206" s="7">
        <f>IF(OR(L206="",L206=0),"",1000/L206)</f>
        <v/>
      </c>
      <c r="L206" s="8" t="n">
        <v>1.383</v>
      </c>
      <c r="M206" s="4" t="inlineStr">
        <is>
          <t>sensitive-pii-m2v-mixed-v2 [s4_c_all]</t>
        </is>
      </c>
      <c r="N206" s="9">
        <f>IFERROR(IF(P206&lt;&gt;"",IF(INDEX($P$2:$P$417,MATCH($M206,$A$2:$A$417,0))="","",P206-INDEX($P$2:$P$417,MATCH($M206,$A$2:$A$417,0))),IF(H206&lt;&gt;"",IF(INDEX($H$2:$H$417,MATCH($M206,$A$2:$A$417,0))="","",H206-INDEX($H$2:$H$417,MATCH($M206,$A$2:$A$417,0))),IF(O206&lt;&gt;"",IF(INDEX($O$2:$O$417,MATCH($M206,$A$2:$A$417,0))="","",O206-INDEX($O$2:$O$417,MATCH($M206,$A$2:$A$417,0))),IF(Q206&lt;&gt;"",IF(INDEX($Q$2:$Q$417,MATCH($M206,$A$2:$A$417,0))="","",Q206-INDEX($Q$2:$Q$417,MATCH($M206,$A$2:$A$417,0))),"")))),"")</f>
        <v/>
      </c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10" t="n"/>
      <c r="Z206" s="10" t="n"/>
      <c r="AA206" s="6" t="n"/>
      <c r="AB206" s="11" t="inlineStr">
        <is>
          <t>one global cut of 0.7, re-picked on the pick halves of datax_eval + govdocs2_eval20 (2023 of 3023 documents clean)</t>
        </is>
      </c>
      <c r="AC206" s="11" t="n"/>
    </row>
    <row r="207" ht="28" customHeight="1">
      <c r="A207" s="12" t="inlineStr">
        <is>
          <t>R2.3</t>
        </is>
      </c>
      <c r="B207" s="13" t="n">
        <v>46254</v>
      </c>
      <c r="C207" s="12" t="inlineStr">
        <is>
          <t>sensitive</t>
        </is>
      </c>
      <c r="D207" s="12" t="inlineStr">
        <is>
          <t>sensitive-pii-m2v-mixed-v2 [global_repicked]</t>
        </is>
      </c>
      <c r="E207" s="12" t="inlineStr">
        <is>
          <t>holdout20k</t>
        </is>
      </c>
      <c r="F207" s="14" t="inlineStr">
        <is>
          <t>T1</t>
        </is>
      </c>
      <c r="G207" s="15" t="n">
        <v>20000</v>
      </c>
      <c r="H207" s="16" t="n">
        <v>0.9718079673135853</v>
      </c>
      <c r="I207" s="16" t="n">
        <v>0.9715526046986721</v>
      </c>
      <c r="J207" s="16" t="n">
        <v>0.9633810010214505</v>
      </c>
      <c r="K207" s="17">
        <f>IF(OR(L207="",L207=0),"",1000/L207)</f>
        <v/>
      </c>
      <c r="L207" s="18" t="n">
        <v>1.383</v>
      </c>
      <c r="M207" s="14" t="inlineStr">
        <is>
          <t>sensitive-pii-m2v-mixed-v2 [s4_c_all]</t>
        </is>
      </c>
      <c r="N207" s="19">
        <f>IFERROR(IF(P207&lt;&gt;"",IF(INDEX($P$2:$P$417,MATCH($M207,$A$2:$A$417,0))="","",P207-INDEX($P$2:$P$417,MATCH($M207,$A$2:$A$417,0))),IF(H207&lt;&gt;"",IF(INDEX($H$2:$H$417,MATCH($M207,$A$2:$A$417,0))="","",H207-INDEX($H$2:$H$417,MATCH($M207,$A$2:$A$417,0))),IF(O207&lt;&gt;"",IF(INDEX($O$2:$O$417,MATCH($M207,$A$2:$A$417,0))="","",O207-INDEX($O$2:$O$417,MATCH($M207,$A$2:$A$417,0))),IF(Q207&lt;&gt;"",IF(INDEX($Q$2:$Q$417,MATCH($M207,$A$2:$A$417,0))="","",Q207-INDEX($Q$2:$Q$417,MATCH($M207,$A$2:$A$417,0))),"")))),"")</f>
        <v/>
      </c>
      <c r="O207" s="16" t="n"/>
      <c r="P207" s="16" t="n"/>
      <c r="Q207" s="16" t="n"/>
      <c r="R207" s="16" t="n"/>
      <c r="S207" s="16" t="n"/>
      <c r="T207" s="16" t="n"/>
      <c r="U207" s="16" t="n"/>
      <c r="V207" s="16" t="n"/>
      <c r="W207" s="16" t="n"/>
      <c r="X207" s="16" t="n"/>
      <c r="Y207" s="20" t="n"/>
      <c r="Z207" s="20" t="n"/>
      <c r="AA207" s="16" t="n"/>
      <c r="AB207" s="21" t="inlineStr">
        <is>
          <t>one global cut of 0.7, re-picked on the pick halves of datax_eval + govdocs2_eval20 (2023 of 3023 documents clean)</t>
        </is>
      </c>
      <c r="AC207" s="21" t="n"/>
    </row>
    <row r="208" ht="28" customHeight="1">
      <c r="A208" s="2" t="inlineStr">
        <is>
          <t>R2.4</t>
        </is>
      </c>
      <c r="B208" s="3" t="n">
        <v>46254</v>
      </c>
      <c r="C208" s="2" t="inlineStr">
        <is>
          <t>sensitive</t>
        </is>
      </c>
      <c r="D208" s="2" t="inlineStr">
        <is>
          <t>sensitive-pii-m2v-mixed-v2 [pertag_ascent]</t>
        </is>
      </c>
      <c r="E208" s="2" t="inlineStr">
        <is>
          <t>datax_eval</t>
        </is>
      </c>
      <c r="F208" s="4" t="inlineStr">
        <is>
          <t>T1</t>
        </is>
      </c>
      <c r="G208" s="5" t="n">
        <v>20000</v>
      </c>
      <c r="H208" s="6" t="n">
        <v>0.7358885017421604</v>
      </c>
      <c r="I208" s="6" t="n">
        <v>0.7289198606271776</v>
      </c>
      <c r="J208" s="6" t="n">
        <v>0.6815331010452962</v>
      </c>
      <c r="K208" s="7">
        <f>IF(OR(L208="",L208=0),"",1000/L208)</f>
        <v/>
      </c>
      <c r="L208" s="8" t="n">
        <v>1.383</v>
      </c>
      <c r="M208" s="4" t="inlineStr">
        <is>
          <t>sensitive-pii-m2v-mixed-v2 [s4_c_all]</t>
        </is>
      </c>
      <c r="N208" s="9">
        <f>IFERROR(IF(P208&lt;&gt;"",IF(INDEX($P$2:$P$417,MATCH($M208,$A$2:$A$417,0))="","",P208-INDEX($P$2:$P$417,MATCH($M208,$A$2:$A$417,0))),IF(H208&lt;&gt;"",IF(INDEX($H$2:$H$417,MATCH($M208,$A$2:$A$417,0))="","",H208-INDEX($H$2:$H$417,MATCH($M208,$A$2:$A$417,0))),IF(O208&lt;&gt;"",IF(INDEX($O$2:$O$417,MATCH($M208,$A$2:$A$417,0))="","",O208-INDEX($O$2:$O$417,MATCH($M208,$A$2:$A$417,0))),IF(Q208&lt;&gt;"",IF(INDEX($Q$2:$Q$417,MATCH($M208,$A$2:$A$417,0))="","",Q208-INDEX($Q$2:$Q$417,MATCH($M208,$A$2:$A$417,0))),"")))),"")</f>
        <v/>
      </c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10" t="n"/>
      <c r="Z208" s="10" t="n"/>
      <c r="AA208" s="6" t="n"/>
      <c r="AB208" s="11" t="inlineStr">
        <is>
          <t>per-tag operating points refined by coordinate ascent on document-level F1@5 over the negatives-bearing selection set</t>
        </is>
      </c>
      <c r="AC208" s="11" t="n"/>
    </row>
    <row r="209" ht="28" customHeight="1">
      <c r="A209" s="12" t="inlineStr">
        <is>
          <t>R2.5</t>
        </is>
      </c>
      <c r="B209" s="13" t="n">
        <v>46254</v>
      </c>
      <c r="C209" s="12" t="inlineStr">
        <is>
          <t>sensitive</t>
        </is>
      </c>
      <c r="D209" s="12" t="inlineStr">
        <is>
          <t>sensitive-pii-m2v-mixed-v2 [pertag_ascent]</t>
        </is>
      </c>
      <c r="E209" s="12" t="inlineStr">
        <is>
          <t>govdocs2_eval20</t>
        </is>
      </c>
      <c r="F209" s="14" t="inlineStr">
        <is>
          <t>T1</t>
        </is>
      </c>
      <c r="G209" s="15" t="n">
        <v>20000</v>
      </c>
      <c r="H209" s="16" t="n">
        <v>0.4942675159235669</v>
      </c>
      <c r="I209" s="16" t="n">
        <v>0.4917197452229299</v>
      </c>
      <c r="J209" s="16" t="n">
        <v>0.4611464968152867</v>
      </c>
      <c r="K209" s="17">
        <f>IF(OR(L209="",L209=0),"",1000/L209)</f>
        <v/>
      </c>
      <c r="L209" s="18" t="n">
        <v>1.383</v>
      </c>
      <c r="M209" s="14" t="inlineStr">
        <is>
          <t>sensitive-pii-m2v-mixed-v2 [s4_c_all]</t>
        </is>
      </c>
      <c r="N209" s="19">
        <f>IFERROR(IF(P209&lt;&gt;"",IF(INDEX($P$2:$P$417,MATCH($M209,$A$2:$A$417,0))="","",P209-INDEX($P$2:$P$417,MATCH($M209,$A$2:$A$417,0))),IF(H209&lt;&gt;"",IF(INDEX($H$2:$H$417,MATCH($M209,$A$2:$A$417,0))="","",H209-INDEX($H$2:$H$417,MATCH($M209,$A$2:$A$417,0))),IF(O209&lt;&gt;"",IF(INDEX($O$2:$O$417,MATCH($M209,$A$2:$A$417,0))="","",O209-INDEX($O$2:$O$417,MATCH($M209,$A$2:$A$417,0))),IF(Q209&lt;&gt;"",IF(INDEX($Q$2:$Q$417,MATCH($M209,$A$2:$A$417,0))="","",Q209-INDEX($Q$2:$Q$417,MATCH($M209,$A$2:$A$417,0))),"")))),"")</f>
        <v/>
      </c>
      <c r="O209" s="16" t="n"/>
      <c r="P209" s="16" t="n"/>
      <c r="Q209" s="16" t="n"/>
      <c r="R209" s="16" t="n"/>
      <c r="S209" s="16" t="n"/>
      <c r="T209" s="16" t="n"/>
      <c r="U209" s="16" t="n"/>
      <c r="V209" s="16" t="n"/>
      <c r="W209" s="16" t="n"/>
      <c r="X209" s="16" t="n"/>
      <c r="Y209" s="20" t="n"/>
      <c r="Z209" s="20" t="n"/>
      <c r="AA209" s="16" t="n"/>
      <c r="AB209" s="21" t="inlineStr">
        <is>
          <t>per-tag operating points refined by coordinate ascent on document-level F1@5 over the negatives-bearing selection set</t>
        </is>
      </c>
      <c r="AC209" s="21" t="n"/>
    </row>
    <row r="210" ht="28" customHeight="1">
      <c r="A210" s="2" t="inlineStr">
        <is>
          <t>R2.6</t>
        </is>
      </c>
      <c r="B210" s="3" t="n">
        <v>46254</v>
      </c>
      <c r="C210" s="2" t="inlineStr">
        <is>
          <t>sensitive</t>
        </is>
      </c>
      <c r="D210" s="2" t="inlineStr">
        <is>
          <t>sensitive-pii-m2v-mixed-v2 [pertag_ascent]</t>
        </is>
      </c>
      <c r="E210" s="2" t="inlineStr">
        <is>
          <t>holdout20k</t>
        </is>
      </c>
      <c r="F210" s="4" t="inlineStr">
        <is>
          <t>T1</t>
        </is>
      </c>
      <c r="G210" s="5" t="n">
        <v>20000</v>
      </c>
      <c r="H210" s="6" t="n">
        <v>0.9686583530971872</v>
      </c>
      <c r="I210" s="6" t="n">
        <v>0.9679443041848366</v>
      </c>
      <c r="J210" s="6" t="n">
        <v>0.9549894167750491</v>
      </c>
      <c r="K210" s="7">
        <f>IF(OR(L210="",L210=0),"",1000/L210)</f>
        <v/>
      </c>
      <c r="L210" s="8" t="n">
        <v>1.383</v>
      </c>
      <c r="M210" s="4" t="inlineStr">
        <is>
          <t>sensitive-pii-m2v-mixed-v2 [s4_c_all]</t>
        </is>
      </c>
      <c r="N210" s="9">
        <f>IFERROR(IF(P210&lt;&gt;"",IF(INDEX($P$2:$P$417,MATCH($M210,$A$2:$A$417,0))="","",P210-INDEX($P$2:$P$417,MATCH($M210,$A$2:$A$417,0))),IF(H210&lt;&gt;"",IF(INDEX($H$2:$H$417,MATCH($M210,$A$2:$A$417,0))="","",H210-INDEX($H$2:$H$417,MATCH($M210,$A$2:$A$417,0))),IF(O210&lt;&gt;"",IF(INDEX($O$2:$O$417,MATCH($M210,$A$2:$A$417,0))="","",O210-INDEX($O$2:$O$417,MATCH($M210,$A$2:$A$417,0))),IF(Q210&lt;&gt;"",IF(INDEX($Q$2:$Q$417,MATCH($M210,$A$2:$A$417,0))="","",Q210-INDEX($Q$2:$Q$417,MATCH($M210,$A$2:$A$417,0))),"")))),"")</f>
        <v/>
      </c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10" t="n"/>
      <c r="Z210" s="10" t="n"/>
      <c r="AA210" s="6" t="n"/>
      <c r="AB210" s="11" t="inlineStr">
        <is>
          <t>per-tag operating points refined by coordinate ascent on document-level F1@5 over the negatives-bearing selection set</t>
        </is>
      </c>
      <c r="AC210" s="11" t="n"/>
    </row>
    <row r="211" ht="28" customHeight="1">
      <c r="A211" s="12" t="inlineStr">
        <is>
          <t>R2.7</t>
        </is>
      </c>
      <c r="B211" s="13" t="n">
        <v>46254</v>
      </c>
      <c r="C211" s="12" t="inlineStr">
        <is>
          <t>sensitive</t>
        </is>
      </c>
      <c r="D211" s="12" t="inlineStr">
        <is>
          <t>sensitive-pii-m2v-mixed-v2 [pertag_binaryf1]</t>
        </is>
      </c>
      <c r="E211" s="12" t="inlineStr">
        <is>
          <t>datax_eval</t>
        </is>
      </c>
      <c r="F211" s="14" t="inlineStr">
        <is>
          <t>T1</t>
        </is>
      </c>
      <c r="G211" s="15" t="n">
        <v>20000</v>
      </c>
      <c r="H211" s="16" t="n">
        <v>0.7284768211920531</v>
      </c>
      <c r="I211" s="16" t="n">
        <v>0.7240618101545253</v>
      </c>
      <c r="J211" s="16" t="n">
        <v>0.6784400294334069</v>
      </c>
      <c r="K211" s="17">
        <f>IF(OR(L211="",L211=0),"",1000/L211)</f>
        <v/>
      </c>
      <c r="L211" s="18" t="n">
        <v>1.383</v>
      </c>
      <c r="M211" s="14" t="inlineStr">
        <is>
          <t>sensitive-pii-m2v-mixed-v2 [s4_c_all]</t>
        </is>
      </c>
      <c r="N211" s="19">
        <f>IFERROR(IF(P211&lt;&gt;"",IF(INDEX($P$2:$P$417,MATCH($M211,$A$2:$A$417,0))="","",P211-INDEX($P$2:$P$417,MATCH($M211,$A$2:$A$417,0))),IF(H211&lt;&gt;"",IF(INDEX($H$2:$H$417,MATCH($M211,$A$2:$A$417,0))="","",H211-INDEX($H$2:$H$417,MATCH($M211,$A$2:$A$417,0))),IF(O211&lt;&gt;"",IF(INDEX($O$2:$O$417,MATCH($M211,$A$2:$A$417,0))="","",O211-INDEX($O$2:$O$417,MATCH($M211,$A$2:$A$417,0))),IF(Q211&lt;&gt;"",IF(INDEX($Q$2:$Q$417,MATCH($M211,$A$2:$A$417,0))="","",Q211-INDEX($Q$2:$Q$417,MATCH($M211,$A$2:$A$417,0))),"")))),"")</f>
        <v/>
      </c>
      <c r="O211" s="16" t="n"/>
      <c r="P211" s="16" t="n"/>
      <c r="Q211" s="16" t="n"/>
      <c r="R211" s="16" t="n"/>
      <c r="S211" s="16" t="n"/>
      <c r="T211" s="16" t="n"/>
      <c r="U211" s="16" t="n"/>
      <c r="V211" s="16" t="n"/>
      <c r="W211" s="16" t="n"/>
      <c r="X211" s="16" t="n"/>
      <c r="Y211" s="20" t="n"/>
      <c r="Z211" s="20" t="n"/>
      <c r="AA211" s="16" t="n"/>
      <c r="AB211" s="21" t="inlineStr">
        <is>
          <t>per-tag operating points, each maximising that tag's own binary F1 on the negatives-bearing selection set</t>
        </is>
      </c>
      <c r="AC211" s="21" t="n"/>
    </row>
    <row r="212" ht="28" customHeight="1">
      <c r="A212" s="2" t="inlineStr">
        <is>
          <t>R2.8</t>
        </is>
      </c>
      <c r="B212" s="3" t="n">
        <v>46254</v>
      </c>
      <c r="C212" s="2" t="inlineStr">
        <is>
          <t>sensitive</t>
        </is>
      </c>
      <c r="D212" s="2" t="inlineStr">
        <is>
          <t>sensitive-pii-m2v-mixed-v2 [pertag_binaryf1]</t>
        </is>
      </c>
      <c r="E212" s="2" t="inlineStr">
        <is>
          <t>govdocs2_eval20</t>
        </is>
      </c>
      <c r="F212" s="4" t="inlineStr">
        <is>
          <t>T1</t>
        </is>
      </c>
      <c r="G212" s="5" t="n">
        <v>20000</v>
      </c>
      <c r="H212" s="6" t="n">
        <v>0.4965706447187929</v>
      </c>
      <c r="I212" s="6" t="n">
        <v>0.4883401920438958</v>
      </c>
      <c r="J212" s="6" t="n">
        <v>0.458161865569273</v>
      </c>
      <c r="K212" s="7">
        <f>IF(OR(L212="",L212=0),"",1000/L212)</f>
        <v/>
      </c>
      <c r="L212" s="8" t="n">
        <v>1.383</v>
      </c>
      <c r="M212" s="4" t="inlineStr">
        <is>
          <t>sensitive-pii-m2v-mixed-v2 [s4_c_all]</t>
        </is>
      </c>
      <c r="N212" s="9">
        <f>IFERROR(IF(P212&lt;&gt;"",IF(INDEX($P$2:$P$417,MATCH($M212,$A$2:$A$417,0))="","",P212-INDEX($P$2:$P$417,MATCH($M212,$A$2:$A$417,0))),IF(H212&lt;&gt;"",IF(INDEX($H$2:$H$417,MATCH($M212,$A$2:$A$417,0))="","",H212-INDEX($H$2:$H$417,MATCH($M212,$A$2:$A$417,0))),IF(O212&lt;&gt;"",IF(INDEX($O$2:$O$417,MATCH($M212,$A$2:$A$417,0))="","",O212-INDEX($O$2:$O$417,MATCH($M212,$A$2:$A$417,0))),IF(Q212&lt;&gt;"",IF(INDEX($Q$2:$Q$417,MATCH($M212,$A$2:$A$417,0))="","",Q212-INDEX($Q$2:$Q$417,MATCH($M212,$A$2:$A$417,0))),"")))),"")</f>
        <v/>
      </c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10" t="n"/>
      <c r="Z212" s="10" t="n"/>
      <c r="AA212" s="6" t="n"/>
      <c r="AB212" s="11" t="inlineStr">
        <is>
          <t>per-tag operating points, each maximising that tag's own binary F1 on the negatives-bearing selection set</t>
        </is>
      </c>
      <c r="AC212" s="11" t="n"/>
    </row>
    <row r="213" ht="28" customHeight="1">
      <c r="A213" s="12" t="inlineStr">
        <is>
          <t>R2.9</t>
        </is>
      </c>
      <c r="B213" s="13" t="n">
        <v>46254</v>
      </c>
      <c r="C213" s="12" t="inlineStr">
        <is>
          <t>sensitive</t>
        </is>
      </c>
      <c r="D213" s="12" t="inlineStr">
        <is>
          <t>sensitive-pii-m2v-mixed-v2 [pertag_binaryf1]</t>
        </is>
      </c>
      <c r="E213" s="12" t="inlineStr">
        <is>
          <t>holdout20k</t>
        </is>
      </c>
      <c r="F213" s="14" t="inlineStr">
        <is>
          <t>T1</t>
        </is>
      </c>
      <c r="G213" s="15" t="n">
        <v>20000</v>
      </c>
      <c r="H213" s="16" t="n">
        <v>0.9657292146918702</v>
      </c>
      <c r="I213" s="16" t="n">
        <v>0.9647046770144972</v>
      </c>
      <c r="J213" s="16" t="n">
        <v>0.9529224937247068</v>
      </c>
      <c r="K213" s="17">
        <f>IF(OR(L213="",L213=0),"",1000/L213)</f>
        <v/>
      </c>
      <c r="L213" s="18" t="n">
        <v>1.383</v>
      </c>
      <c r="M213" s="14" t="inlineStr">
        <is>
          <t>sensitive-pii-m2v-mixed-v2 [s4_c_all]</t>
        </is>
      </c>
      <c r="N213" s="19">
        <f>IFERROR(IF(P213&lt;&gt;"",IF(INDEX($P$2:$P$417,MATCH($M213,$A$2:$A$417,0))="","",P213-INDEX($P$2:$P$417,MATCH($M213,$A$2:$A$417,0))),IF(H213&lt;&gt;"",IF(INDEX($H$2:$H$417,MATCH($M213,$A$2:$A$417,0))="","",H213-INDEX($H$2:$H$417,MATCH($M213,$A$2:$A$417,0))),IF(O213&lt;&gt;"",IF(INDEX($O$2:$O$417,MATCH($M213,$A$2:$A$417,0))="","",O213-INDEX($O$2:$O$417,MATCH($M213,$A$2:$A$417,0))),IF(Q213&lt;&gt;"",IF(INDEX($Q$2:$Q$417,MATCH($M213,$A$2:$A$417,0))="","",Q213-INDEX($Q$2:$Q$417,MATCH($M213,$A$2:$A$417,0))),"")))),"")</f>
        <v/>
      </c>
      <c r="O213" s="16" t="n"/>
      <c r="P213" s="16" t="n"/>
      <c r="Q213" s="16" t="n"/>
      <c r="R213" s="16" t="n"/>
      <c r="S213" s="16" t="n"/>
      <c r="T213" s="16" t="n"/>
      <c r="U213" s="16" t="n"/>
      <c r="V213" s="16" t="n"/>
      <c r="W213" s="16" t="n"/>
      <c r="X213" s="16" t="n"/>
      <c r="Y213" s="20" t="n"/>
      <c r="Z213" s="20" t="n"/>
      <c r="AA213" s="16" t="n"/>
      <c r="AB213" s="21" t="inlineStr">
        <is>
          <t>per-tag operating points, each maximising that tag's own binary F1 on the negatives-bearing selection set</t>
        </is>
      </c>
      <c r="AC213" s="21" t="n"/>
    </row>
    <row r="214" ht="28" customHeight="1">
      <c r="A214" s="2" t="inlineStr">
        <is>
          <t>R2.10</t>
        </is>
      </c>
      <c r="B214" s="3" t="n">
        <v>46254</v>
      </c>
      <c r="C214" s="2" t="inlineStr">
        <is>
          <t>sensitive</t>
        </is>
      </c>
      <c r="D214" s="2" t="inlineStr">
        <is>
          <t>sensitive-pii-m2v-mixed-v2 [shipped, global 0.65]</t>
        </is>
      </c>
      <c r="E214" s="2" t="inlineStr">
        <is>
          <t>datax_eval</t>
        </is>
      </c>
      <c r="F214" s="4" t="inlineStr">
        <is>
          <t>T1</t>
        </is>
      </c>
      <c r="G214" s="5" t="n">
        <v>20000</v>
      </c>
      <c r="H214" s="6" t="n">
        <v>0.7484232655921514</v>
      </c>
      <c r="I214" s="6" t="n">
        <v>0.7456201822004204</v>
      </c>
      <c r="J214" s="6" t="n">
        <v>0.6937631394533987</v>
      </c>
      <c r="K214" s="7">
        <f>IF(OR(L214="",L214=0),"",1000/L214)</f>
        <v/>
      </c>
      <c r="L214" s="8" t="n">
        <v>1.383</v>
      </c>
      <c r="M214" s="4" t="n"/>
      <c r="N214" s="9">
        <f>IFERROR(IF(P214&lt;&gt;"",IF(INDEX($P$2:$P$417,MATCH($M214,$A$2:$A$417,0))="","",P214-INDEX($P$2:$P$417,MATCH($M214,$A$2:$A$417,0))),IF(H214&lt;&gt;"",IF(INDEX($H$2:$H$417,MATCH($M214,$A$2:$A$417,0))="","",H214-INDEX($H$2:$H$417,MATCH($M214,$A$2:$A$417,0))),IF(O214&lt;&gt;"",IF(INDEX($O$2:$O$417,MATCH($M214,$A$2:$A$417,0))="","",O214-INDEX($O$2:$O$417,MATCH($M214,$A$2:$A$417,0))),IF(Q214&lt;&gt;"",IF(INDEX($Q$2:$Q$417,MATCH($M214,$A$2:$A$417,0))="","",Q214-INDEX($Q$2:$Q$417,MATCH($M214,$A$2:$A$417,0))),"")))),"")</f>
        <v/>
      </c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10" t="n"/>
      <c r="Z214" s="10" t="n"/>
      <c r="AA214" s="6" t="n"/>
      <c r="AB214" s="11" t="inlineStr">
        <is>
          <t>the operating point as packaged: one global cut of 0.65</t>
        </is>
      </c>
      <c r="AC214" s="11" t="n"/>
    </row>
    <row r="215" ht="28" customHeight="1">
      <c r="A215" s="12" t="inlineStr">
        <is>
          <t>R2.11</t>
        </is>
      </c>
      <c r="B215" s="13" t="n">
        <v>46254</v>
      </c>
      <c r="C215" s="12" t="inlineStr">
        <is>
          <t>sensitive</t>
        </is>
      </c>
      <c r="D215" s="12" t="inlineStr">
        <is>
          <t>sensitive-pii-m2v-mixed-v2 [shipped, global 0.65]</t>
        </is>
      </c>
      <c r="E215" s="12" t="inlineStr">
        <is>
          <t>govdocs2_eval20</t>
        </is>
      </c>
      <c r="F215" s="14" t="inlineStr">
        <is>
          <t>T1</t>
        </is>
      </c>
      <c r="G215" s="15" t="n">
        <v>20000</v>
      </c>
      <c r="H215" s="16" t="n">
        <v>0.4518134715025907</v>
      </c>
      <c r="I215" s="16" t="n">
        <v>0.4518134715025907</v>
      </c>
      <c r="J215" s="16" t="n">
        <v>0.4352331606217616</v>
      </c>
      <c r="K215" s="17">
        <f>IF(OR(L215="",L215=0),"",1000/L215)</f>
        <v/>
      </c>
      <c r="L215" s="18" t="n">
        <v>1.383</v>
      </c>
      <c r="M215" s="14" t="n"/>
      <c r="N215" s="19">
        <f>IFERROR(IF(P215&lt;&gt;"",IF(INDEX($P$2:$P$417,MATCH($M215,$A$2:$A$417,0))="","",P215-INDEX($P$2:$P$417,MATCH($M215,$A$2:$A$417,0))),IF(H215&lt;&gt;"",IF(INDEX($H$2:$H$417,MATCH($M215,$A$2:$A$417,0))="","",H215-INDEX($H$2:$H$417,MATCH($M215,$A$2:$A$417,0))),IF(O215&lt;&gt;"",IF(INDEX($O$2:$O$417,MATCH($M215,$A$2:$A$417,0))="","",O215-INDEX($O$2:$O$417,MATCH($M215,$A$2:$A$417,0))),IF(Q215&lt;&gt;"",IF(INDEX($Q$2:$Q$417,MATCH($M215,$A$2:$A$417,0))="","",Q215-INDEX($Q$2:$Q$417,MATCH($M215,$A$2:$A$417,0))),"")))),"")</f>
        <v/>
      </c>
      <c r="O215" s="16" t="n"/>
      <c r="P215" s="16" t="n"/>
      <c r="Q215" s="16" t="n"/>
      <c r="R215" s="16" t="n"/>
      <c r="S215" s="16" t="n"/>
      <c r="T215" s="16" t="n"/>
      <c r="U215" s="16" t="n"/>
      <c r="V215" s="16" t="n"/>
      <c r="W215" s="16" t="n"/>
      <c r="X215" s="16" t="n"/>
      <c r="Y215" s="20" t="n"/>
      <c r="Z215" s="20" t="n"/>
      <c r="AA215" s="16" t="n"/>
      <c r="AB215" s="21" t="inlineStr">
        <is>
          <t>the operating point as packaged: one global cut of 0.65</t>
        </is>
      </c>
      <c r="AC215" s="21" t="n"/>
    </row>
    <row r="216" ht="28" customHeight="1">
      <c r="A216" s="2" t="inlineStr">
        <is>
          <t>R2.12</t>
        </is>
      </c>
      <c r="B216" s="3" t="n">
        <v>46254</v>
      </c>
      <c r="C216" s="2" t="inlineStr">
        <is>
          <t>sensitive</t>
        </is>
      </c>
      <c r="D216" s="2" t="inlineStr">
        <is>
          <t>sensitive-pii-m2v-mixed-v2 [shipped, global 0.65]</t>
        </is>
      </c>
      <c r="E216" s="2" t="inlineStr">
        <is>
          <t>holdout20k</t>
        </is>
      </c>
      <c r="F216" s="4" t="inlineStr">
        <is>
          <t>T1</t>
        </is>
      </c>
      <c r="G216" s="5" t="n">
        <v>20000</v>
      </c>
      <c r="H216" s="6" t="n">
        <v>0.9766508295434335</v>
      </c>
      <c r="I216" s="6" t="n">
        <v>0.9763967580477145</v>
      </c>
      <c r="J216" s="6" t="n">
        <v>0.966894484107828</v>
      </c>
      <c r="K216" s="7">
        <f>IF(OR(L216="",L216=0),"",1000/L216)</f>
        <v/>
      </c>
      <c r="L216" s="8" t="n">
        <v>1.383</v>
      </c>
      <c r="M216" s="4" t="n"/>
      <c r="N216" s="9">
        <f>IFERROR(IF(P216&lt;&gt;"",IF(INDEX($P$2:$P$417,MATCH($M216,$A$2:$A$417,0))="","",P216-INDEX($P$2:$P$417,MATCH($M216,$A$2:$A$417,0))),IF(H216&lt;&gt;"",IF(INDEX($H$2:$H$417,MATCH($M216,$A$2:$A$417,0))="","",H216-INDEX($H$2:$H$417,MATCH($M216,$A$2:$A$417,0))),IF(O216&lt;&gt;"",IF(INDEX($O$2:$O$417,MATCH($M216,$A$2:$A$417,0))="","",O216-INDEX($O$2:$O$417,MATCH($M216,$A$2:$A$417,0))),IF(Q216&lt;&gt;"",IF(INDEX($Q$2:$Q$417,MATCH($M216,$A$2:$A$417,0))="","",Q216-INDEX($Q$2:$Q$417,MATCH($M216,$A$2:$A$417,0))),"")))),"")</f>
        <v/>
      </c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10" t="n"/>
      <c r="Z216" s="10" t="n"/>
      <c r="AA216" s="6" t="n"/>
      <c r="AB216" s="11" t="inlineStr">
        <is>
          <t>the operating point as packaged: one global cut of 0.65</t>
        </is>
      </c>
      <c r="AC216" s="11" t="n"/>
    </row>
    <row r="217" ht="28" customHeight="1">
      <c r="A217" s="12" t="inlineStr">
        <is>
          <t>R3.1</t>
        </is>
      </c>
      <c r="B217" s="13" t="n">
        <v>46254</v>
      </c>
      <c r="C217" s="12" t="inlineStr">
        <is>
          <t>sensitive</t>
        </is>
      </c>
      <c r="D217" s="12" t="inlineStr">
        <is>
          <t>gate[g_emb_chunk] -&gt; tagger[global0.65]</t>
        </is>
      </c>
      <c r="E217" s="12" t="inlineStr">
        <is>
          <t>datax_eval</t>
        </is>
      </c>
      <c r="F217" s="14" t="inlineStr">
        <is>
          <t>T1</t>
        </is>
      </c>
      <c r="G217" s="15" t="n">
        <v>20000</v>
      </c>
      <c r="H217" s="16" t="n">
        <v>0.7453987730061351</v>
      </c>
      <c r="I217" s="16" t="n">
        <v>0.7423312883435582</v>
      </c>
      <c r="J217" s="16" t="n">
        <v>0.6932515337423313</v>
      </c>
      <c r="K217" s="17" t="n"/>
      <c r="L217" s="18" t="n"/>
      <c r="M217" s="14" t="inlineStr">
        <is>
          <t>sensitive-pii-m2v-mixed-v2 [s4_c_all]</t>
        </is>
      </c>
      <c r="N217" s="19">
        <f>IFERROR(IF(P217&lt;&gt;"",IF(INDEX($P$2:$P$417,MATCH($M217,$A$2:$A$417,0))="","",P217-INDEX($P$2:$P$417,MATCH($M217,$A$2:$A$417,0))),IF(H217&lt;&gt;"",IF(INDEX($H$2:$H$417,MATCH($M217,$A$2:$A$417,0))="","",H217-INDEX($H$2:$H$417,MATCH($M217,$A$2:$A$417,0))),IF(O217&lt;&gt;"",IF(INDEX($O$2:$O$417,MATCH($M217,$A$2:$A$417,0))="","",O217-INDEX($O$2:$O$417,MATCH($M217,$A$2:$A$417,0))),IF(Q217&lt;&gt;"",IF(INDEX($Q$2:$Q$417,MATCH($M217,$A$2:$A$417,0))="","",Q217-INDEX($Q$2:$Q$417,MATCH($M217,$A$2:$A$417,0))),"")))),"")</f>
        <v/>
      </c>
      <c r="O217" s="16" t="n"/>
      <c r="P217" s="16" t="n"/>
      <c r="Q217" s="16" t="n"/>
      <c r="R217" s="16" t="n"/>
      <c r="S217" s="16" t="n"/>
      <c r="T217" s="16" t="n"/>
      <c r="U217" s="16" t="n"/>
      <c r="V217" s="16" t="n"/>
      <c r="W217" s="16" t="n"/>
      <c r="X217" s="16" t="n"/>
      <c r="Y217" s="20" t="n"/>
      <c r="Z217" s="20" t="n"/>
      <c r="AA217" s="16" t="n"/>
      <c r="AB217" s="21" t="inlineStr">
        <is>
          <t>two-stage: binary gate g_emb_chunk at 0.7 in front of the tagger at global0.65</t>
        </is>
      </c>
      <c r="AC217" s="21" t="n"/>
    </row>
    <row r="218" ht="28" customHeight="1">
      <c r="A218" s="2" t="inlineStr">
        <is>
          <t>R3.2</t>
        </is>
      </c>
      <c r="B218" s="3" t="n">
        <v>46254</v>
      </c>
      <c r="C218" s="2" t="inlineStr">
        <is>
          <t>sensitive</t>
        </is>
      </c>
      <c r="D218" s="2" t="inlineStr">
        <is>
          <t>gate[g_emb_chunk] -&gt; tagger[global0.65]</t>
        </is>
      </c>
      <c r="E218" s="2" t="inlineStr">
        <is>
          <t>govdocs2_eval20</t>
        </is>
      </c>
      <c r="F218" s="4" t="inlineStr">
        <is>
          <t>T1</t>
        </is>
      </c>
      <c r="G218" s="5" t="n">
        <v>20000</v>
      </c>
      <c r="H218" s="6" t="n">
        <v>0.5213675213675214</v>
      </c>
      <c r="I218" s="6" t="n">
        <v>0.5213675213675214</v>
      </c>
      <c r="J218" s="6" t="n">
        <v>0.5042735042735043</v>
      </c>
      <c r="K218" s="7" t="n"/>
      <c r="L218" s="8" t="n"/>
      <c r="M218" s="4" t="inlineStr">
        <is>
          <t>sensitive-pii-m2v-mixed-v2 [s4_c_all]</t>
        </is>
      </c>
      <c r="N218" s="9">
        <f>IFERROR(IF(P218&lt;&gt;"",IF(INDEX($P$2:$P$417,MATCH($M218,$A$2:$A$417,0))="","",P218-INDEX($P$2:$P$417,MATCH($M218,$A$2:$A$417,0))),IF(H218&lt;&gt;"",IF(INDEX($H$2:$H$417,MATCH($M218,$A$2:$A$417,0))="","",H218-INDEX($H$2:$H$417,MATCH($M218,$A$2:$A$417,0))),IF(O218&lt;&gt;"",IF(INDEX($O$2:$O$417,MATCH($M218,$A$2:$A$417,0))="","",O218-INDEX($O$2:$O$417,MATCH($M218,$A$2:$A$417,0))),IF(Q218&lt;&gt;"",IF(INDEX($Q$2:$Q$417,MATCH($M218,$A$2:$A$417,0))="","",Q218-INDEX($Q$2:$Q$417,MATCH($M218,$A$2:$A$417,0))),"")))),"")</f>
        <v/>
      </c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10" t="n"/>
      <c r="Z218" s="10" t="n"/>
      <c r="AA218" s="6" t="n"/>
      <c r="AB218" s="11" t="inlineStr">
        <is>
          <t>two-stage: binary gate g_emb_chunk at 0.7 in front of the tagger at global0.65</t>
        </is>
      </c>
      <c r="AC218" s="11" t="n"/>
    </row>
    <row r="219" ht="28" customHeight="1">
      <c r="A219" s="12" t="inlineStr">
        <is>
          <t>R3.3</t>
        </is>
      </c>
      <c r="B219" s="13" t="n">
        <v>46254</v>
      </c>
      <c r="C219" s="12" t="inlineStr">
        <is>
          <t>sensitive</t>
        </is>
      </c>
      <c r="D219" s="12" t="inlineStr">
        <is>
          <t>gate[g_emb_chunk] -&gt; tagger[global0.65]</t>
        </is>
      </c>
      <c r="E219" s="12" t="inlineStr">
        <is>
          <t>holdout20k</t>
        </is>
      </c>
      <c r="F219" s="14" t="inlineStr">
        <is>
          <t>T1</t>
        </is>
      </c>
      <c r="G219" s="15" t="n">
        <v>20000</v>
      </c>
      <c r="H219" s="16" t="n">
        <v>0.6599371615749716</v>
      </c>
      <c r="I219" s="16" t="n">
        <v>0.6597366134099873</v>
      </c>
      <c r="J219" s="16" t="n">
        <v>0.6545892105087238</v>
      </c>
      <c r="K219" s="17" t="n"/>
      <c r="L219" s="18" t="n"/>
      <c r="M219" s="14" t="inlineStr">
        <is>
          <t>sensitive-pii-m2v-mixed-v2 [s4_c_all]</t>
        </is>
      </c>
      <c r="N219" s="19">
        <f>IFERROR(IF(P219&lt;&gt;"",IF(INDEX($P$2:$P$417,MATCH($M219,$A$2:$A$417,0))="","",P219-INDEX($P$2:$P$417,MATCH($M219,$A$2:$A$417,0))),IF(H219&lt;&gt;"",IF(INDEX($H$2:$H$417,MATCH($M219,$A$2:$A$417,0))="","",H219-INDEX($H$2:$H$417,MATCH($M219,$A$2:$A$417,0))),IF(O219&lt;&gt;"",IF(INDEX($O$2:$O$417,MATCH($M219,$A$2:$A$417,0))="","",O219-INDEX($O$2:$O$417,MATCH($M219,$A$2:$A$417,0))),IF(Q219&lt;&gt;"",IF(INDEX($Q$2:$Q$417,MATCH($M219,$A$2:$A$417,0))="","",Q219-INDEX($Q$2:$Q$417,MATCH($M219,$A$2:$A$417,0))),"")))),"")</f>
        <v/>
      </c>
      <c r="O219" s="16" t="n"/>
      <c r="P219" s="16" t="n"/>
      <c r="Q219" s="16" t="n"/>
      <c r="R219" s="16" t="n"/>
      <c r="S219" s="16" t="n"/>
      <c r="T219" s="16" t="n"/>
      <c r="U219" s="16" t="n"/>
      <c r="V219" s="16" t="n"/>
      <c r="W219" s="16" t="n"/>
      <c r="X219" s="16" t="n"/>
      <c r="Y219" s="20" t="n"/>
      <c r="Z219" s="20" t="n"/>
      <c r="AA219" s="16" t="n"/>
      <c r="AB219" s="21" t="inlineStr">
        <is>
          <t>two-stage: binary gate g_emb_chunk at 0.7 in front of the tagger at global0.65</t>
        </is>
      </c>
      <c r="AC219" s="21" t="n"/>
    </row>
    <row r="220" ht="28" customHeight="1">
      <c r="A220" s="2" t="inlineStr">
        <is>
          <t>R3.4</t>
        </is>
      </c>
      <c r="B220" s="3" t="n">
        <v>46254</v>
      </c>
      <c r="C220" s="2" t="inlineStr">
        <is>
          <t>sensitive</t>
        </is>
      </c>
      <c r="D220" s="2" t="inlineStr">
        <is>
          <t>gate[g_emb_chunk] -&gt; tagger[pertag]</t>
        </is>
      </c>
      <c r="E220" s="2" t="inlineStr">
        <is>
          <t>datax_eval</t>
        </is>
      </c>
      <c r="F220" s="4" t="inlineStr">
        <is>
          <t>T1</t>
        </is>
      </c>
      <c r="G220" s="5" t="n">
        <v>20000</v>
      </c>
      <c r="H220" s="6" t="n">
        <v>0.7294117647058822</v>
      </c>
      <c r="I220" s="6" t="n">
        <v>0.7247058823529411</v>
      </c>
      <c r="J220" s="6" t="n">
        <v>0.6807843137254902</v>
      </c>
      <c r="K220" s="7" t="n"/>
      <c r="L220" s="8" t="n"/>
      <c r="M220" s="4" t="inlineStr">
        <is>
          <t>sensitive-pii-m2v-mixed-v2 [s4_c_all]</t>
        </is>
      </c>
      <c r="N220" s="9">
        <f>IFERROR(IF(P220&lt;&gt;"",IF(INDEX($P$2:$P$417,MATCH($M220,$A$2:$A$417,0))="","",P220-INDEX($P$2:$P$417,MATCH($M220,$A$2:$A$417,0))),IF(H220&lt;&gt;"",IF(INDEX($H$2:$H$417,MATCH($M220,$A$2:$A$417,0))="","",H220-INDEX($H$2:$H$417,MATCH($M220,$A$2:$A$417,0))),IF(O220&lt;&gt;"",IF(INDEX($O$2:$O$417,MATCH($M220,$A$2:$A$417,0))="","",O220-INDEX($O$2:$O$417,MATCH($M220,$A$2:$A$417,0))),IF(Q220&lt;&gt;"",IF(INDEX($Q$2:$Q$417,MATCH($M220,$A$2:$A$417,0))="","",Q220-INDEX($Q$2:$Q$417,MATCH($M220,$A$2:$A$417,0))),"")))),"")</f>
        <v/>
      </c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10" t="n"/>
      <c r="Z220" s="10" t="n"/>
      <c r="AA220" s="6" t="n"/>
      <c r="AB220" s="11" t="inlineStr">
        <is>
          <t>two-stage: binary gate g_emb_chunk at 0.65 in front of the tagger at pertag</t>
        </is>
      </c>
      <c r="AC220" s="11" t="n"/>
    </row>
    <row r="221" ht="28" customHeight="1">
      <c r="A221" s="12" t="inlineStr">
        <is>
          <t>R3.5</t>
        </is>
      </c>
      <c r="B221" s="13" t="n">
        <v>46254</v>
      </c>
      <c r="C221" s="12" t="inlineStr">
        <is>
          <t>sensitive</t>
        </is>
      </c>
      <c r="D221" s="12" t="inlineStr">
        <is>
          <t>gate[g_emb_chunk] -&gt; tagger[pertag]</t>
        </is>
      </c>
      <c r="E221" s="12" t="inlineStr">
        <is>
          <t>govdocs2_eval20</t>
        </is>
      </c>
      <c r="F221" s="14" t="inlineStr">
        <is>
          <t>T1</t>
        </is>
      </c>
      <c r="G221" s="15" t="n">
        <v>20000</v>
      </c>
      <c r="H221" s="16" t="n">
        <v>0.529595015576324</v>
      </c>
      <c r="I221" s="16" t="n">
        <v>0.5202492211838006</v>
      </c>
      <c r="J221" s="16" t="n">
        <v>0.4890965732087227</v>
      </c>
      <c r="K221" s="17" t="n"/>
      <c r="L221" s="18" t="n"/>
      <c r="M221" s="14" t="inlineStr">
        <is>
          <t>sensitive-pii-m2v-mixed-v2 [s4_c_all]</t>
        </is>
      </c>
      <c r="N221" s="19">
        <f>IFERROR(IF(P221&lt;&gt;"",IF(INDEX($P$2:$P$417,MATCH($M221,$A$2:$A$417,0))="","",P221-INDEX($P$2:$P$417,MATCH($M221,$A$2:$A$417,0))),IF(H221&lt;&gt;"",IF(INDEX($H$2:$H$417,MATCH($M221,$A$2:$A$417,0))="","",H221-INDEX($H$2:$H$417,MATCH($M221,$A$2:$A$417,0))),IF(O221&lt;&gt;"",IF(INDEX($O$2:$O$417,MATCH($M221,$A$2:$A$417,0))="","",O221-INDEX($O$2:$O$417,MATCH($M221,$A$2:$A$417,0))),IF(Q221&lt;&gt;"",IF(INDEX($Q$2:$Q$417,MATCH($M221,$A$2:$A$417,0))="","",Q221-INDEX($Q$2:$Q$417,MATCH($M221,$A$2:$A$417,0))),"")))),"")</f>
        <v/>
      </c>
      <c r="O221" s="16" t="n"/>
      <c r="P221" s="16" t="n"/>
      <c r="Q221" s="16" t="n"/>
      <c r="R221" s="16" t="n"/>
      <c r="S221" s="16" t="n"/>
      <c r="T221" s="16" t="n"/>
      <c r="U221" s="16" t="n"/>
      <c r="V221" s="16" t="n"/>
      <c r="W221" s="16" t="n"/>
      <c r="X221" s="16" t="n"/>
      <c r="Y221" s="20" t="n"/>
      <c r="Z221" s="20" t="n"/>
      <c r="AA221" s="16" t="n"/>
      <c r="AB221" s="21" t="inlineStr">
        <is>
          <t>two-stage: binary gate g_emb_chunk at 0.65 in front of the tagger at pertag</t>
        </is>
      </c>
      <c r="AC221" s="21" t="n"/>
    </row>
    <row r="222" ht="28" customHeight="1">
      <c r="A222" s="2" t="inlineStr">
        <is>
          <t>R3.6</t>
        </is>
      </c>
      <c r="B222" s="3" t="n">
        <v>46254</v>
      </c>
      <c r="C222" s="2" t="inlineStr">
        <is>
          <t>sensitive</t>
        </is>
      </c>
      <c r="D222" s="2" t="inlineStr">
        <is>
          <t>gate[g_emb_chunk] -&gt; tagger[pertag]</t>
        </is>
      </c>
      <c r="E222" s="2" t="inlineStr">
        <is>
          <t>holdout20k</t>
        </is>
      </c>
      <c r="F222" s="4" t="inlineStr">
        <is>
          <t>T1</t>
        </is>
      </c>
      <c r="G222" s="5" t="n">
        <v>20000</v>
      </c>
      <c r="H222" s="6" t="n">
        <v>0.6727020418951959</v>
      </c>
      <c r="I222" s="6" t="n">
        <v>0.6716447498843586</v>
      </c>
      <c r="J222" s="6" t="n">
        <v>0.664838432564594</v>
      </c>
      <c r="K222" s="7" t="n"/>
      <c r="L222" s="8" t="n"/>
      <c r="M222" s="4" t="inlineStr">
        <is>
          <t>sensitive-pii-m2v-mixed-v2 [s4_c_all]</t>
        </is>
      </c>
      <c r="N222" s="9">
        <f>IFERROR(IF(P222&lt;&gt;"",IF(INDEX($P$2:$P$417,MATCH($M222,$A$2:$A$417,0))="","",P222-INDEX($P$2:$P$417,MATCH($M222,$A$2:$A$417,0))),IF(H222&lt;&gt;"",IF(INDEX($H$2:$H$417,MATCH($M222,$A$2:$A$417,0))="","",H222-INDEX($H$2:$H$417,MATCH($M222,$A$2:$A$417,0))),IF(O222&lt;&gt;"",IF(INDEX($O$2:$O$417,MATCH($M222,$A$2:$A$417,0))="","",O222-INDEX($O$2:$O$417,MATCH($M222,$A$2:$A$417,0))),IF(Q222&lt;&gt;"",IF(INDEX($Q$2:$Q$417,MATCH($M222,$A$2:$A$417,0))="","",Q222-INDEX($Q$2:$Q$417,MATCH($M222,$A$2:$A$417,0))),"")))),"")</f>
        <v/>
      </c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10" t="n"/>
      <c r="Z222" s="10" t="n"/>
      <c r="AA222" s="6" t="n"/>
      <c r="AB222" s="11" t="inlineStr">
        <is>
          <t>two-stage: binary gate g_emb_chunk at 0.65 in front of the tagger at pertag</t>
        </is>
      </c>
      <c r="AC222" s="11" t="n"/>
    </row>
    <row r="223" ht="28" customHeight="1">
      <c r="A223" s="12" t="inlineStr">
        <is>
          <t>R3.7</t>
        </is>
      </c>
      <c r="B223" s="13" t="n">
        <v>46254</v>
      </c>
      <c r="C223" s="12" t="inlineStr">
        <is>
          <t>sensitive</t>
        </is>
      </c>
      <c r="D223" s="12" t="inlineStr">
        <is>
          <t>gate[g_emb_chunk] -&gt; tagger[rank_only]</t>
        </is>
      </c>
      <c r="E223" s="12" t="inlineStr">
        <is>
          <t>datax_eval</t>
        </is>
      </c>
      <c r="F223" s="14" t="inlineStr">
        <is>
          <t>T1</t>
        </is>
      </c>
      <c r="G223" s="15" t="n">
        <v>20000</v>
      </c>
      <c r="H223" s="16" t="n">
        <v>0.7692307692307692</v>
      </c>
      <c r="I223" s="16" t="n">
        <v>0.755656108597285</v>
      </c>
      <c r="J223" s="16" t="n">
        <v>0.6877828054298644</v>
      </c>
      <c r="K223" s="17" t="n"/>
      <c r="L223" s="18" t="n"/>
      <c r="M223" s="14" t="inlineStr">
        <is>
          <t>sensitive-pii-m2v-mixed-v2 [s4_c_all]</t>
        </is>
      </c>
      <c r="N223" s="19">
        <f>IFERROR(IF(P223&lt;&gt;"",IF(INDEX($P$2:$P$417,MATCH($M223,$A$2:$A$417,0))="","",P223-INDEX($P$2:$P$417,MATCH($M223,$A$2:$A$417,0))),IF(H223&lt;&gt;"",IF(INDEX($H$2:$H$417,MATCH($M223,$A$2:$A$417,0))="","",H223-INDEX($H$2:$H$417,MATCH($M223,$A$2:$A$417,0))),IF(O223&lt;&gt;"",IF(INDEX($O$2:$O$417,MATCH($M223,$A$2:$A$417,0))="","",O223-INDEX($O$2:$O$417,MATCH($M223,$A$2:$A$417,0))),IF(Q223&lt;&gt;"",IF(INDEX($Q$2:$Q$417,MATCH($M223,$A$2:$A$417,0))="","",Q223-INDEX($Q$2:$Q$417,MATCH($M223,$A$2:$A$417,0))),"")))),"")</f>
        <v/>
      </c>
      <c r="O223" s="16" t="n"/>
      <c r="P223" s="16" t="n"/>
      <c r="Q223" s="16" t="n"/>
      <c r="R223" s="16" t="n"/>
      <c r="S223" s="16" t="n"/>
      <c r="T223" s="16" t="n"/>
      <c r="U223" s="16" t="n"/>
      <c r="V223" s="16" t="n"/>
      <c r="W223" s="16" t="n"/>
      <c r="X223" s="16" t="n"/>
      <c r="Y223" s="20" t="n"/>
      <c r="Z223" s="20" t="n"/>
      <c r="AA223" s="16" t="n"/>
      <c r="AB223" s="21" t="inlineStr">
        <is>
          <t>two-stage: binary gate g_emb_chunk at 0.75 in front of the tagger at rank_only</t>
        </is>
      </c>
      <c r="AC223" s="21" t="n"/>
    </row>
    <row r="224" ht="28" customHeight="1">
      <c r="A224" s="2" t="inlineStr">
        <is>
          <t>R3.8</t>
        </is>
      </c>
      <c r="B224" s="3" t="n">
        <v>46254</v>
      </c>
      <c r="C224" s="2" t="inlineStr">
        <is>
          <t>sensitive</t>
        </is>
      </c>
      <c r="D224" s="2" t="inlineStr">
        <is>
          <t>gate[g_emb_chunk] -&gt; tagger[rank_only]</t>
        </is>
      </c>
      <c r="E224" s="2" t="inlineStr">
        <is>
          <t>govdocs2_eval20</t>
        </is>
      </c>
      <c r="F224" s="4" t="inlineStr">
        <is>
          <t>T1</t>
        </is>
      </c>
      <c r="G224" s="5" t="n">
        <v>20000</v>
      </c>
      <c r="H224" s="6" t="n">
        <v>0.5389048991354467</v>
      </c>
      <c r="I224" s="6" t="n">
        <v>0.5331412103746397</v>
      </c>
      <c r="J224" s="6" t="n">
        <v>0.5043227665706052</v>
      </c>
      <c r="K224" s="7" t="n"/>
      <c r="L224" s="8" t="n"/>
      <c r="M224" s="4" t="inlineStr">
        <is>
          <t>sensitive-pii-m2v-mixed-v2 [s4_c_all]</t>
        </is>
      </c>
      <c r="N224" s="9">
        <f>IFERROR(IF(P224&lt;&gt;"",IF(INDEX($P$2:$P$417,MATCH($M224,$A$2:$A$417,0))="","",P224-INDEX($P$2:$P$417,MATCH($M224,$A$2:$A$417,0))),IF(H224&lt;&gt;"",IF(INDEX($H$2:$H$417,MATCH($M224,$A$2:$A$417,0))="","",H224-INDEX($H$2:$H$417,MATCH($M224,$A$2:$A$417,0))),IF(O224&lt;&gt;"",IF(INDEX($O$2:$O$417,MATCH($M224,$A$2:$A$417,0))="","",O224-INDEX($O$2:$O$417,MATCH($M224,$A$2:$A$417,0))),IF(Q224&lt;&gt;"",IF(INDEX($Q$2:$Q$417,MATCH($M224,$A$2:$A$417,0))="","",Q224-INDEX($Q$2:$Q$417,MATCH($M224,$A$2:$A$417,0))),"")))),"")</f>
        <v/>
      </c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10" t="n"/>
      <c r="Z224" s="10" t="n"/>
      <c r="AA224" s="6" t="n"/>
      <c r="AB224" s="11" t="inlineStr">
        <is>
          <t>two-stage: binary gate g_emb_chunk at 0.75 in front of the tagger at rank_only</t>
        </is>
      </c>
      <c r="AC224" s="11" t="n"/>
    </row>
    <row r="225" ht="28" customHeight="1">
      <c r="A225" s="12" t="inlineStr">
        <is>
          <t>R3.9</t>
        </is>
      </c>
      <c r="B225" s="13" t="n">
        <v>46254</v>
      </c>
      <c r="C225" s="12" t="inlineStr">
        <is>
          <t>sensitive</t>
        </is>
      </c>
      <c r="D225" s="12" t="inlineStr">
        <is>
          <t>gate[g_emb_chunk] -&gt; tagger[rank_only]</t>
        </is>
      </c>
      <c r="E225" s="12" t="inlineStr">
        <is>
          <t>holdout20k</t>
        </is>
      </c>
      <c r="F225" s="14" t="inlineStr">
        <is>
          <t>T1</t>
        </is>
      </c>
      <c r="G225" s="15" t="n">
        <v>20000</v>
      </c>
      <c r="H225" s="16" t="n">
        <v>0.6362025488993389</v>
      </c>
      <c r="I225" s="16" t="n">
        <v>0.6354528726231854</v>
      </c>
      <c r="J225" s="16" t="n">
        <v>0.628637633749063</v>
      </c>
      <c r="K225" s="17" t="n"/>
      <c r="L225" s="18" t="n"/>
      <c r="M225" s="14" t="inlineStr">
        <is>
          <t>sensitive-pii-m2v-mixed-v2 [s4_c_all]</t>
        </is>
      </c>
      <c r="N225" s="19">
        <f>IFERROR(IF(P225&lt;&gt;"",IF(INDEX($P$2:$P$417,MATCH($M225,$A$2:$A$417,0))="","",P225-INDEX($P$2:$P$417,MATCH($M225,$A$2:$A$417,0))),IF(H225&lt;&gt;"",IF(INDEX($H$2:$H$417,MATCH($M225,$A$2:$A$417,0))="","",H225-INDEX($H$2:$H$417,MATCH($M225,$A$2:$A$417,0))),IF(O225&lt;&gt;"",IF(INDEX($O$2:$O$417,MATCH($M225,$A$2:$A$417,0))="","",O225-INDEX($O$2:$O$417,MATCH($M225,$A$2:$A$417,0))),IF(Q225&lt;&gt;"",IF(INDEX($Q$2:$Q$417,MATCH($M225,$A$2:$A$417,0))="","",Q225-INDEX($Q$2:$Q$417,MATCH($M225,$A$2:$A$417,0))),"")))),"")</f>
        <v/>
      </c>
      <c r="O225" s="16" t="n"/>
      <c r="P225" s="16" t="n"/>
      <c r="Q225" s="16" t="n"/>
      <c r="R225" s="16" t="n"/>
      <c r="S225" s="16" t="n"/>
      <c r="T225" s="16" t="n"/>
      <c r="U225" s="16" t="n"/>
      <c r="V225" s="16" t="n"/>
      <c r="W225" s="16" t="n"/>
      <c r="X225" s="16" t="n"/>
      <c r="Y225" s="20" t="n"/>
      <c r="Z225" s="20" t="n"/>
      <c r="AA225" s="16" t="n"/>
      <c r="AB225" s="21" t="inlineStr">
        <is>
          <t>two-stage: binary gate g_emb_chunk at 0.75 in front of the tagger at rank_only</t>
        </is>
      </c>
      <c r="AC225" s="21" t="n"/>
    </row>
    <row r="226" ht="28" customHeight="1">
      <c r="A226" s="2" t="inlineStr">
        <is>
          <t>R3.10</t>
        </is>
      </c>
      <c r="B226" s="3" t="n">
        <v>46254</v>
      </c>
      <c r="C226" s="2" t="inlineStr">
        <is>
          <t>sensitive</t>
        </is>
      </c>
      <c r="D226" s="2" t="inlineStr">
        <is>
          <t>gate[g_emb_doc] -&gt; tagger[global0.65]</t>
        </is>
      </c>
      <c r="E226" s="2" t="inlineStr">
        <is>
          <t>datax_eval</t>
        </is>
      </c>
      <c r="F226" s="4" t="inlineStr">
        <is>
          <t>T1</t>
        </is>
      </c>
      <c r="G226" s="5" t="n">
        <v>20000</v>
      </c>
      <c r="H226" s="6" t="n">
        <v>0.7496136012364761</v>
      </c>
      <c r="I226" s="6" t="n">
        <v>0.7465224111282843</v>
      </c>
      <c r="J226" s="6" t="n">
        <v>0.6970633693972178</v>
      </c>
      <c r="K226" s="7" t="n"/>
      <c r="L226" s="8" t="n"/>
      <c r="M226" s="4" t="inlineStr">
        <is>
          <t>sensitive-pii-m2v-mixed-v2 [s4_c_all]</t>
        </is>
      </c>
      <c r="N226" s="9">
        <f>IFERROR(IF(P226&lt;&gt;"",IF(INDEX($P$2:$P$417,MATCH($M226,$A$2:$A$417,0))="","",P226-INDEX($P$2:$P$417,MATCH($M226,$A$2:$A$417,0))),IF(H226&lt;&gt;"",IF(INDEX($H$2:$H$417,MATCH($M226,$A$2:$A$417,0))="","",H226-INDEX($H$2:$H$417,MATCH($M226,$A$2:$A$417,0))),IF(O226&lt;&gt;"",IF(INDEX($O$2:$O$417,MATCH($M226,$A$2:$A$417,0))="","",O226-INDEX($O$2:$O$417,MATCH($M226,$A$2:$A$417,0))),IF(Q226&lt;&gt;"",IF(INDEX($Q$2:$Q$417,MATCH($M226,$A$2:$A$417,0))="","",Q226-INDEX($Q$2:$Q$417,MATCH($M226,$A$2:$A$417,0))),"")))),"")</f>
        <v/>
      </c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10" t="n"/>
      <c r="Z226" s="10" t="n"/>
      <c r="AA226" s="6" t="n"/>
      <c r="AB226" s="11" t="inlineStr">
        <is>
          <t>two-stage: binary gate g_emb_doc at 0.35 in front of the tagger at global0.65</t>
        </is>
      </c>
      <c r="AC226" s="11" t="n"/>
    </row>
    <row r="227" ht="28" customHeight="1">
      <c r="A227" s="12" t="inlineStr">
        <is>
          <t>R3.11</t>
        </is>
      </c>
      <c r="B227" s="13" t="n">
        <v>46254</v>
      </c>
      <c r="C227" s="12" t="inlineStr">
        <is>
          <t>sensitive</t>
        </is>
      </c>
      <c r="D227" s="12" t="inlineStr">
        <is>
          <t>gate[g_emb_doc] -&gt; tagger[global0.65]</t>
        </is>
      </c>
      <c r="E227" s="12" t="inlineStr">
        <is>
          <t>govdocs2_eval20</t>
        </is>
      </c>
      <c r="F227" s="14" t="inlineStr">
        <is>
          <t>T1</t>
        </is>
      </c>
      <c r="G227" s="15" t="n">
        <v>20000</v>
      </c>
      <c r="H227" s="16" t="n">
        <v>0.5298913043478262</v>
      </c>
      <c r="I227" s="16" t="n">
        <v>0.5298913043478262</v>
      </c>
      <c r="J227" s="16" t="n">
        <v>0.5163043478260869</v>
      </c>
      <c r="K227" s="17" t="n"/>
      <c r="L227" s="18" t="n"/>
      <c r="M227" s="14" t="inlineStr">
        <is>
          <t>sensitive-pii-m2v-mixed-v2 [s4_c_all]</t>
        </is>
      </c>
      <c r="N227" s="19">
        <f>IFERROR(IF(P227&lt;&gt;"",IF(INDEX($P$2:$P$417,MATCH($M227,$A$2:$A$417,0))="","",P227-INDEX($P$2:$P$417,MATCH($M227,$A$2:$A$417,0))),IF(H227&lt;&gt;"",IF(INDEX($H$2:$H$417,MATCH($M227,$A$2:$A$417,0))="","",H227-INDEX($H$2:$H$417,MATCH($M227,$A$2:$A$417,0))),IF(O227&lt;&gt;"",IF(INDEX($O$2:$O$417,MATCH($M227,$A$2:$A$417,0))="","",O227-INDEX($O$2:$O$417,MATCH($M227,$A$2:$A$417,0))),IF(Q227&lt;&gt;"",IF(INDEX($Q$2:$Q$417,MATCH($M227,$A$2:$A$417,0))="","",Q227-INDEX($Q$2:$Q$417,MATCH($M227,$A$2:$A$417,0))),"")))),"")</f>
        <v/>
      </c>
      <c r="O227" s="16" t="n"/>
      <c r="P227" s="16" t="n"/>
      <c r="Q227" s="16" t="n"/>
      <c r="R227" s="16" t="n"/>
      <c r="S227" s="16" t="n"/>
      <c r="T227" s="16" t="n"/>
      <c r="U227" s="16" t="n"/>
      <c r="V227" s="16" t="n"/>
      <c r="W227" s="16" t="n"/>
      <c r="X227" s="16" t="n"/>
      <c r="Y227" s="20" t="n"/>
      <c r="Z227" s="20" t="n"/>
      <c r="AA227" s="16" t="n"/>
      <c r="AB227" s="21" t="inlineStr">
        <is>
          <t>two-stage: binary gate g_emb_doc at 0.35 in front of the tagger at global0.65</t>
        </is>
      </c>
      <c r="AC227" s="21" t="n"/>
    </row>
    <row r="228" ht="28" customHeight="1">
      <c r="A228" s="2" t="inlineStr">
        <is>
          <t>R3.12</t>
        </is>
      </c>
      <c r="B228" s="3" t="n">
        <v>46254</v>
      </c>
      <c r="C228" s="2" t="inlineStr">
        <is>
          <t>sensitive</t>
        </is>
      </c>
      <c r="D228" s="2" t="inlineStr">
        <is>
          <t>gate[g_emb_doc] -&gt; tagger[global0.65]</t>
        </is>
      </c>
      <c r="E228" s="2" t="inlineStr">
        <is>
          <t>holdout20k</t>
        </is>
      </c>
      <c r="F228" s="4" t="inlineStr">
        <is>
          <t>T1</t>
        </is>
      </c>
      <c r="G228" s="5" t="n">
        <v>20000</v>
      </c>
      <c r="H228" s="6" t="n">
        <v>0.8685085988159007</v>
      </c>
      <c r="I228" s="6" t="n">
        <v>0.8683394417817875</v>
      </c>
      <c r="J228" s="6" t="n">
        <v>0.8618550888074429</v>
      </c>
      <c r="K228" s="7" t="n"/>
      <c r="L228" s="8" t="n"/>
      <c r="M228" s="4" t="inlineStr">
        <is>
          <t>sensitive-pii-m2v-mixed-v2 [s4_c_all]</t>
        </is>
      </c>
      <c r="N228" s="9">
        <f>IFERROR(IF(P228&lt;&gt;"",IF(INDEX($P$2:$P$417,MATCH($M228,$A$2:$A$417,0))="","",P228-INDEX($P$2:$P$417,MATCH($M228,$A$2:$A$417,0))),IF(H228&lt;&gt;"",IF(INDEX($H$2:$H$417,MATCH($M228,$A$2:$A$417,0))="","",H228-INDEX($H$2:$H$417,MATCH($M228,$A$2:$A$417,0))),IF(O228&lt;&gt;"",IF(INDEX($O$2:$O$417,MATCH($M228,$A$2:$A$417,0))="","",O228-INDEX($O$2:$O$417,MATCH($M228,$A$2:$A$417,0))),IF(Q228&lt;&gt;"",IF(INDEX($Q$2:$Q$417,MATCH($M228,$A$2:$A$417,0))="","",Q228-INDEX($Q$2:$Q$417,MATCH($M228,$A$2:$A$417,0))),"")))),"")</f>
        <v/>
      </c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10" t="n"/>
      <c r="Z228" s="10" t="n"/>
      <c r="AA228" s="6" t="n"/>
      <c r="AB228" s="11" t="inlineStr">
        <is>
          <t>two-stage: binary gate g_emb_doc at 0.35 in front of the tagger at global0.65</t>
        </is>
      </c>
      <c r="AC228" s="11" t="n"/>
    </row>
    <row r="229" ht="28" customHeight="1">
      <c r="A229" s="12" t="inlineStr">
        <is>
          <t>R3.13</t>
        </is>
      </c>
      <c r="B229" s="13" t="n">
        <v>46254</v>
      </c>
      <c r="C229" s="12" t="inlineStr">
        <is>
          <t>sensitive</t>
        </is>
      </c>
      <c r="D229" s="12" t="inlineStr">
        <is>
          <t>gate[g_emb_doc] -&gt; tagger[pertag]</t>
        </is>
      </c>
      <c r="E229" s="12" t="inlineStr">
        <is>
          <t>datax_eval</t>
        </is>
      </c>
      <c r="F229" s="14" t="inlineStr">
        <is>
          <t>T1</t>
        </is>
      </c>
      <c r="G229" s="15" t="n">
        <v>20000</v>
      </c>
      <c r="H229" s="16" t="n">
        <v>0.7344110854503465</v>
      </c>
      <c r="I229" s="16" t="n">
        <v>0.7297921478060047</v>
      </c>
      <c r="J229" s="16" t="n">
        <v>0.6820631254811393</v>
      </c>
      <c r="K229" s="17" t="n"/>
      <c r="L229" s="18" t="n"/>
      <c r="M229" s="14" t="inlineStr">
        <is>
          <t>sensitive-pii-m2v-mixed-v2 [s4_c_all]</t>
        </is>
      </c>
      <c r="N229" s="19">
        <f>IFERROR(IF(P229&lt;&gt;"",IF(INDEX($P$2:$P$417,MATCH($M229,$A$2:$A$417,0))="","",P229-INDEX($P$2:$P$417,MATCH($M229,$A$2:$A$417,0))),IF(H229&lt;&gt;"",IF(INDEX($H$2:$H$417,MATCH($M229,$A$2:$A$417,0))="","",H229-INDEX($H$2:$H$417,MATCH($M229,$A$2:$A$417,0))),IF(O229&lt;&gt;"",IF(INDEX($O$2:$O$417,MATCH($M229,$A$2:$A$417,0))="","",O229-INDEX($O$2:$O$417,MATCH($M229,$A$2:$A$417,0))),IF(Q229&lt;&gt;"",IF(INDEX($Q$2:$Q$417,MATCH($M229,$A$2:$A$417,0))="","",Q229-INDEX($Q$2:$Q$417,MATCH($M229,$A$2:$A$417,0))),"")))),"")</f>
        <v/>
      </c>
      <c r="O229" s="16" t="n"/>
      <c r="P229" s="16" t="n"/>
      <c r="Q229" s="16" t="n"/>
      <c r="R229" s="16" t="n"/>
      <c r="S229" s="16" t="n"/>
      <c r="T229" s="16" t="n"/>
      <c r="U229" s="16" t="n"/>
      <c r="V229" s="16" t="n"/>
      <c r="W229" s="16" t="n"/>
      <c r="X229" s="16" t="n"/>
      <c r="Y229" s="20" t="n"/>
      <c r="Z229" s="20" t="n"/>
      <c r="AA229" s="16" t="n"/>
      <c r="AB229" s="21" t="inlineStr">
        <is>
          <t>two-stage: binary gate g_emb_doc at 0.25 in front of the tagger at pertag</t>
        </is>
      </c>
      <c r="AC229" s="21" t="n"/>
    </row>
    <row r="230" ht="28" customHeight="1">
      <c r="A230" s="2" t="inlineStr">
        <is>
          <t>R3.14</t>
        </is>
      </c>
      <c r="B230" s="3" t="n">
        <v>46254</v>
      </c>
      <c r="C230" s="2" t="inlineStr">
        <is>
          <t>sensitive</t>
        </is>
      </c>
      <c r="D230" s="2" t="inlineStr">
        <is>
          <t>gate[g_emb_doc] -&gt; tagger[pertag]</t>
        </is>
      </c>
      <c r="E230" s="2" t="inlineStr">
        <is>
          <t>govdocs2_eval20</t>
        </is>
      </c>
      <c r="F230" s="4" t="inlineStr">
        <is>
          <t>T1</t>
        </is>
      </c>
      <c r="G230" s="5" t="n">
        <v>20000</v>
      </c>
      <c r="H230" s="6" t="n">
        <v>0.5292307692307692</v>
      </c>
      <c r="I230" s="6" t="n">
        <v>0.52</v>
      </c>
      <c r="J230" s="6" t="n">
        <v>0.4892307692307692</v>
      </c>
      <c r="K230" s="7" t="n"/>
      <c r="L230" s="8" t="n"/>
      <c r="M230" s="4" t="inlineStr">
        <is>
          <t>sensitive-pii-m2v-mixed-v2 [s4_c_all]</t>
        </is>
      </c>
      <c r="N230" s="9">
        <f>IFERROR(IF(P230&lt;&gt;"",IF(INDEX($P$2:$P$417,MATCH($M230,$A$2:$A$417,0))="","",P230-INDEX($P$2:$P$417,MATCH($M230,$A$2:$A$417,0))),IF(H230&lt;&gt;"",IF(INDEX($H$2:$H$417,MATCH($M230,$A$2:$A$417,0))="","",H230-INDEX($H$2:$H$417,MATCH($M230,$A$2:$A$417,0))),IF(O230&lt;&gt;"",IF(INDEX($O$2:$O$417,MATCH($M230,$A$2:$A$417,0))="","",O230-INDEX($O$2:$O$417,MATCH($M230,$A$2:$A$417,0))),IF(Q230&lt;&gt;"",IF(INDEX($Q$2:$Q$417,MATCH($M230,$A$2:$A$417,0))="","",Q230-INDEX($Q$2:$Q$417,MATCH($M230,$A$2:$A$417,0))),"")))),"")</f>
        <v/>
      </c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10" t="n"/>
      <c r="Z230" s="10" t="n"/>
      <c r="AA230" s="6" t="n"/>
      <c r="AB230" s="11" t="inlineStr">
        <is>
          <t>two-stage: binary gate g_emb_doc at 0.25 in front of the tagger at pertag</t>
        </is>
      </c>
      <c r="AC230" s="11" t="n"/>
    </row>
    <row r="231" ht="28" customHeight="1">
      <c r="A231" s="12" t="inlineStr">
        <is>
          <t>R3.15</t>
        </is>
      </c>
      <c r="B231" s="13" t="n">
        <v>46254</v>
      </c>
      <c r="C231" s="12" t="inlineStr">
        <is>
          <t>sensitive</t>
        </is>
      </c>
      <c r="D231" s="12" t="inlineStr">
        <is>
          <t>gate[g_emb_doc] -&gt; tagger[pertag]</t>
        </is>
      </c>
      <c r="E231" s="12" t="inlineStr">
        <is>
          <t>holdout20k</t>
        </is>
      </c>
      <c r="F231" s="14" t="inlineStr">
        <is>
          <t>T1</t>
        </is>
      </c>
      <c r="G231" s="15" t="n">
        <v>20000</v>
      </c>
      <c r="H231" s="16" t="n">
        <v>0.8935714285714286</v>
      </c>
      <c r="I231" s="16" t="n">
        <v>0.8928021978021978</v>
      </c>
      <c r="J231" s="16" t="n">
        <v>0.8832967032967032</v>
      </c>
      <c r="K231" s="17" t="n"/>
      <c r="L231" s="18" t="n"/>
      <c r="M231" s="14" t="inlineStr">
        <is>
          <t>sensitive-pii-m2v-mixed-v2 [s4_c_all]</t>
        </is>
      </c>
      <c r="N231" s="19">
        <f>IFERROR(IF(P231&lt;&gt;"",IF(INDEX($P$2:$P$417,MATCH($M231,$A$2:$A$417,0))="","",P231-INDEX($P$2:$P$417,MATCH($M231,$A$2:$A$417,0))),IF(H231&lt;&gt;"",IF(INDEX($H$2:$H$417,MATCH($M231,$A$2:$A$417,0))="","",H231-INDEX($H$2:$H$417,MATCH($M231,$A$2:$A$417,0))),IF(O231&lt;&gt;"",IF(INDEX($O$2:$O$417,MATCH($M231,$A$2:$A$417,0))="","",O231-INDEX($O$2:$O$417,MATCH($M231,$A$2:$A$417,0))),IF(Q231&lt;&gt;"",IF(INDEX($Q$2:$Q$417,MATCH($M231,$A$2:$A$417,0))="","",Q231-INDEX($Q$2:$Q$417,MATCH($M231,$A$2:$A$417,0))),"")))),"")</f>
        <v/>
      </c>
      <c r="O231" s="16" t="n"/>
      <c r="P231" s="16" t="n"/>
      <c r="Q231" s="16" t="n"/>
      <c r="R231" s="16" t="n"/>
      <c r="S231" s="16" t="n"/>
      <c r="T231" s="16" t="n"/>
      <c r="U231" s="16" t="n"/>
      <c r="V231" s="16" t="n"/>
      <c r="W231" s="16" t="n"/>
      <c r="X231" s="16" t="n"/>
      <c r="Y231" s="20" t="n"/>
      <c r="Z231" s="20" t="n"/>
      <c r="AA231" s="16" t="n"/>
      <c r="AB231" s="21" t="inlineStr">
        <is>
          <t>two-stage: binary gate g_emb_doc at 0.25 in front of the tagger at pertag</t>
        </is>
      </c>
      <c r="AC231" s="21" t="n"/>
    </row>
    <row r="232" ht="28" customHeight="1">
      <c r="A232" s="2" t="inlineStr">
        <is>
          <t>R3.16</t>
        </is>
      </c>
      <c r="B232" s="3" t="n">
        <v>46254</v>
      </c>
      <c r="C232" s="2" t="inlineStr">
        <is>
          <t>sensitive</t>
        </is>
      </c>
      <c r="D232" s="2" t="inlineStr">
        <is>
          <t>gate[g_emb_doc] -&gt; tagger[rank_only]</t>
        </is>
      </c>
      <c r="E232" s="2" t="inlineStr">
        <is>
          <t>datax_eval</t>
        </is>
      </c>
      <c r="F232" s="4" t="inlineStr">
        <is>
          <t>T1</t>
        </is>
      </c>
      <c r="G232" s="5" t="n">
        <v>20000</v>
      </c>
      <c r="H232" s="6" t="n">
        <v>0.7513389441469014</v>
      </c>
      <c r="I232" s="6" t="n">
        <v>0.7390971690895181</v>
      </c>
      <c r="J232" s="6" t="n">
        <v>0.6809487375669472</v>
      </c>
      <c r="K232" s="7" t="n"/>
      <c r="L232" s="8" t="n"/>
      <c r="M232" s="4" t="inlineStr">
        <is>
          <t>sensitive-pii-m2v-mixed-v2 [s4_c_all]</t>
        </is>
      </c>
      <c r="N232" s="9">
        <f>IFERROR(IF(P232&lt;&gt;"",IF(INDEX($P$2:$P$417,MATCH($M232,$A$2:$A$417,0))="","",P232-INDEX($P$2:$P$417,MATCH($M232,$A$2:$A$417,0))),IF(H232&lt;&gt;"",IF(INDEX($H$2:$H$417,MATCH($M232,$A$2:$A$417,0))="","",H232-INDEX($H$2:$H$417,MATCH($M232,$A$2:$A$417,0))),IF(O232&lt;&gt;"",IF(INDEX($O$2:$O$417,MATCH($M232,$A$2:$A$417,0))="","",O232-INDEX($O$2:$O$417,MATCH($M232,$A$2:$A$417,0))),IF(Q232&lt;&gt;"",IF(INDEX($Q$2:$Q$417,MATCH($M232,$A$2:$A$417,0))="","",Q232-INDEX($Q$2:$Q$417,MATCH($M232,$A$2:$A$417,0))),"")))),"")</f>
        <v/>
      </c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10" t="n"/>
      <c r="Z232" s="10" t="n"/>
      <c r="AA232" s="6" t="n"/>
      <c r="AB232" s="11" t="inlineStr">
        <is>
          <t>two-stage: binary gate g_emb_doc at 0.5 in front of the tagger at rank_only</t>
        </is>
      </c>
      <c r="AC232" s="11" t="n"/>
    </row>
    <row r="233" ht="28" customHeight="1">
      <c r="A233" s="12" t="inlineStr">
        <is>
          <t>R3.17</t>
        </is>
      </c>
      <c r="B233" s="13" t="n">
        <v>46254</v>
      </c>
      <c r="C233" s="12" t="inlineStr">
        <is>
          <t>sensitive</t>
        </is>
      </c>
      <c r="D233" s="12" t="inlineStr">
        <is>
          <t>gate[g_emb_doc] -&gt; tagger[rank_only]</t>
        </is>
      </c>
      <c r="E233" s="12" t="inlineStr">
        <is>
          <t>govdocs2_eval20</t>
        </is>
      </c>
      <c r="F233" s="14" t="inlineStr">
        <is>
          <t>T1</t>
        </is>
      </c>
      <c r="G233" s="15" t="n">
        <v>20000</v>
      </c>
      <c r="H233" s="16" t="n">
        <v>0.5373608903020668</v>
      </c>
      <c r="I233" s="16" t="n">
        <v>0.5278219395866455</v>
      </c>
      <c r="J233" s="16" t="n">
        <v>0.4928457869634341</v>
      </c>
      <c r="K233" s="17" t="n"/>
      <c r="L233" s="18" t="n"/>
      <c r="M233" s="14" t="inlineStr">
        <is>
          <t>sensitive-pii-m2v-mixed-v2 [s4_c_all]</t>
        </is>
      </c>
      <c r="N233" s="19">
        <f>IFERROR(IF(P233&lt;&gt;"",IF(INDEX($P$2:$P$417,MATCH($M233,$A$2:$A$417,0))="","",P233-INDEX($P$2:$P$417,MATCH($M233,$A$2:$A$417,0))),IF(H233&lt;&gt;"",IF(INDEX($H$2:$H$417,MATCH($M233,$A$2:$A$417,0))="","",H233-INDEX($H$2:$H$417,MATCH($M233,$A$2:$A$417,0))),IF(O233&lt;&gt;"",IF(INDEX($O$2:$O$417,MATCH($M233,$A$2:$A$417,0))="","",O233-INDEX($O$2:$O$417,MATCH($M233,$A$2:$A$417,0))),IF(Q233&lt;&gt;"",IF(INDEX($Q$2:$Q$417,MATCH($M233,$A$2:$A$417,0))="","",Q233-INDEX($Q$2:$Q$417,MATCH($M233,$A$2:$A$417,0))),"")))),"")</f>
        <v/>
      </c>
      <c r="O233" s="16" t="n"/>
      <c r="P233" s="16" t="n"/>
      <c r="Q233" s="16" t="n"/>
      <c r="R233" s="16" t="n"/>
      <c r="S233" s="16" t="n"/>
      <c r="T233" s="16" t="n"/>
      <c r="U233" s="16" t="n"/>
      <c r="V233" s="16" t="n"/>
      <c r="W233" s="16" t="n"/>
      <c r="X233" s="16" t="n"/>
      <c r="Y233" s="20" t="n"/>
      <c r="Z233" s="20" t="n"/>
      <c r="AA233" s="16" t="n"/>
      <c r="AB233" s="21" t="inlineStr">
        <is>
          <t>two-stage: binary gate g_emb_doc at 0.5 in front of the tagger at rank_only</t>
        </is>
      </c>
      <c r="AC233" s="21" t="n"/>
    </row>
    <row r="234" ht="28" customHeight="1">
      <c r="A234" s="2" t="inlineStr">
        <is>
          <t>R3.18</t>
        </is>
      </c>
      <c r="B234" s="3" t="n">
        <v>46254</v>
      </c>
      <c r="C234" s="2" t="inlineStr">
        <is>
          <t>sensitive</t>
        </is>
      </c>
      <c r="D234" s="2" t="inlineStr">
        <is>
          <t>gate[g_emb_doc] -&gt; tagger[rank_only]</t>
        </is>
      </c>
      <c r="E234" s="2" t="inlineStr">
        <is>
          <t>holdout20k</t>
        </is>
      </c>
      <c r="F234" s="4" t="inlineStr">
        <is>
          <t>T1</t>
        </is>
      </c>
      <c r="G234" s="5" t="n">
        <v>20000</v>
      </c>
      <c r="H234" s="6" t="n">
        <v>0.7979573445479123</v>
      </c>
      <c r="I234" s="6" t="n">
        <v>0.7968759387203365</v>
      </c>
      <c r="J234" s="6" t="n">
        <v>0.7900871132472214</v>
      </c>
      <c r="K234" s="7" t="n"/>
      <c r="L234" s="8" t="n"/>
      <c r="M234" s="4" t="inlineStr">
        <is>
          <t>sensitive-pii-m2v-mixed-v2 [s4_c_all]</t>
        </is>
      </c>
      <c r="N234" s="9">
        <f>IFERROR(IF(P234&lt;&gt;"",IF(INDEX($P$2:$P$417,MATCH($M234,$A$2:$A$417,0))="","",P234-INDEX($P$2:$P$417,MATCH($M234,$A$2:$A$417,0))),IF(H234&lt;&gt;"",IF(INDEX($H$2:$H$417,MATCH($M234,$A$2:$A$417,0))="","",H234-INDEX($H$2:$H$417,MATCH($M234,$A$2:$A$417,0))),IF(O234&lt;&gt;"",IF(INDEX($O$2:$O$417,MATCH($M234,$A$2:$A$417,0))="","",O234-INDEX($O$2:$O$417,MATCH($M234,$A$2:$A$417,0))),IF(Q234&lt;&gt;"",IF(INDEX($Q$2:$Q$417,MATCH($M234,$A$2:$A$417,0))="","",Q234-INDEX($Q$2:$Q$417,MATCH($M234,$A$2:$A$417,0))),"")))),"")</f>
        <v/>
      </c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10" t="n"/>
      <c r="Z234" s="10" t="n"/>
      <c r="AA234" s="6" t="n"/>
      <c r="AB234" s="11" t="inlineStr">
        <is>
          <t>two-stage: binary gate g_emb_doc at 0.5 in front of the tagger at rank_only</t>
        </is>
      </c>
      <c r="AC234" s="11" t="n"/>
    </row>
    <row r="235" ht="28" customHeight="1">
      <c r="A235" s="12" t="inlineStr">
        <is>
          <t>R3.19</t>
        </is>
      </c>
      <c r="B235" s="13" t="n">
        <v>46254</v>
      </c>
      <c r="C235" s="12" t="inlineStr">
        <is>
          <t>sensitive</t>
        </is>
      </c>
      <c r="D235" s="12" t="inlineStr">
        <is>
          <t>gate[g_emb_tags_chunk] -&gt; tagger[global0.65]</t>
        </is>
      </c>
      <c r="E235" s="12" t="inlineStr">
        <is>
          <t>datax_eval</t>
        </is>
      </c>
      <c r="F235" s="14" t="inlineStr">
        <is>
          <t>T1</t>
        </is>
      </c>
      <c r="G235" s="15" t="n">
        <v>20000</v>
      </c>
      <c r="H235" s="16" t="n">
        <v>0.7359098228663445</v>
      </c>
      <c r="I235" s="16" t="n">
        <v>0.7326892109500804</v>
      </c>
      <c r="J235" s="16" t="n">
        <v>0.677938808373591</v>
      </c>
      <c r="K235" s="17" t="n"/>
      <c r="L235" s="18" t="n"/>
      <c r="M235" s="14" t="inlineStr">
        <is>
          <t>sensitive-pii-m2v-mixed-v2 [s4_c_all]</t>
        </is>
      </c>
      <c r="N235" s="19">
        <f>IFERROR(IF(P235&lt;&gt;"",IF(INDEX($P$2:$P$417,MATCH($M235,$A$2:$A$417,0))="","",P235-INDEX($P$2:$P$417,MATCH($M235,$A$2:$A$417,0))),IF(H235&lt;&gt;"",IF(INDEX($H$2:$H$417,MATCH($M235,$A$2:$A$417,0))="","",H235-INDEX($H$2:$H$417,MATCH($M235,$A$2:$A$417,0))),IF(O235&lt;&gt;"",IF(INDEX($O$2:$O$417,MATCH($M235,$A$2:$A$417,0))="","",O235-INDEX($O$2:$O$417,MATCH($M235,$A$2:$A$417,0))),IF(Q235&lt;&gt;"",IF(INDEX($Q$2:$Q$417,MATCH($M235,$A$2:$A$417,0))="","",Q235-INDEX($Q$2:$Q$417,MATCH($M235,$A$2:$A$417,0))),"")))),"")</f>
        <v/>
      </c>
      <c r="O235" s="16" t="n"/>
      <c r="P235" s="16" t="n"/>
      <c r="Q235" s="16" t="n"/>
      <c r="R235" s="16" t="n"/>
      <c r="S235" s="16" t="n"/>
      <c r="T235" s="16" t="n"/>
      <c r="U235" s="16" t="n"/>
      <c r="V235" s="16" t="n"/>
      <c r="W235" s="16" t="n"/>
      <c r="X235" s="16" t="n"/>
      <c r="Y235" s="20" t="n"/>
      <c r="Z235" s="20" t="n"/>
      <c r="AA235" s="16" t="n"/>
      <c r="AB235" s="21" t="inlineStr">
        <is>
          <t>two-stage: binary gate g_emb_tags_chunk at 0.85 in front of the tagger at global0.65</t>
        </is>
      </c>
      <c r="AC235" s="21" t="n"/>
    </row>
    <row r="236" ht="28" customHeight="1">
      <c r="A236" s="2" t="inlineStr">
        <is>
          <t>R3.20</t>
        </is>
      </c>
      <c r="B236" s="3" t="n">
        <v>46254</v>
      </c>
      <c r="C236" s="2" t="inlineStr">
        <is>
          <t>sensitive</t>
        </is>
      </c>
      <c r="D236" s="2" t="inlineStr">
        <is>
          <t>gate[g_emb_tags_chunk] -&gt; tagger[global0.65]</t>
        </is>
      </c>
      <c r="E236" s="2" t="inlineStr">
        <is>
          <t>govdocs2_eval20</t>
        </is>
      </c>
      <c r="F236" s="4" t="inlineStr">
        <is>
          <t>T1</t>
        </is>
      </c>
      <c r="G236" s="5" t="n">
        <v>20000</v>
      </c>
      <c r="H236" s="6" t="n">
        <v>0.5474683544303797</v>
      </c>
      <c r="I236" s="6" t="n">
        <v>0.5474683544303797</v>
      </c>
      <c r="J236" s="6" t="n">
        <v>0.5348101265822784</v>
      </c>
      <c r="K236" s="7" t="n"/>
      <c r="L236" s="8" t="n"/>
      <c r="M236" s="4" t="inlineStr">
        <is>
          <t>sensitive-pii-m2v-mixed-v2 [s4_c_all]</t>
        </is>
      </c>
      <c r="N236" s="9">
        <f>IFERROR(IF(P236&lt;&gt;"",IF(INDEX($P$2:$P$417,MATCH($M236,$A$2:$A$417,0))="","",P236-INDEX($P$2:$P$417,MATCH($M236,$A$2:$A$417,0))),IF(H236&lt;&gt;"",IF(INDEX($H$2:$H$417,MATCH($M236,$A$2:$A$417,0))="","",H236-INDEX($H$2:$H$417,MATCH($M236,$A$2:$A$417,0))),IF(O236&lt;&gt;"",IF(INDEX($O$2:$O$417,MATCH($M236,$A$2:$A$417,0))="","",O236-INDEX($O$2:$O$417,MATCH($M236,$A$2:$A$417,0))),IF(Q236&lt;&gt;"",IF(INDEX($Q$2:$Q$417,MATCH($M236,$A$2:$A$417,0))="","",Q236-INDEX($Q$2:$Q$417,MATCH($M236,$A$2:$A$417,0))),"")))),"")</f>
        <v/>
      </c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10" t="n"/>
      <c r="Z236" s="10" t="n"/>
      <c r="AA236" s="6" t="n"/>
      <c r="AB236" s="11" t="inlineStr">
        <is>
          <t>two-stage: binary gate g_emb_tags_chunk at 0.85 in front of the tagger at global0.65</t>
        </is>
      </c>
      <c r="AC236" s="11" t="n"/>
    </row>
    <row r="237" ht="28" customHeight="1">
      <c r="A237" s="12" t="inlineStr">
        <is>
          <t>R3.21</t>
        </is>
      </c>
      <c r="B237" s="13" t="n">
        <v>46254</v>
      </c>
      <c r="C237" s="12" t="inlineStr">
        <is>
          <t>sensitive</t>
        </is>
      </c>
      <c r="D237" s="12" t="inlineStr">
        <is>
          <t>gate[g_emb_tags_chunk] -&gt; tagger[global0.65]</t>
        </is>
      </c>
      <c r="E237" s="12" t="inlineStr">
        <is>
          <t>holdout20k</t>
        </is>
      </c>
      <c r="F237" s="14" t="inlineStr">
        <is>
          <t>T1</t>
        </is>
      </c>
      <c r="G237" s="15" t="n">
        <v>20000</v>
      </c>
      <c r="H237" s="16" t="n">
        <v>0.5045717484605337</v>
      </c>
      <c r="I237" s="16" t="n">
        <v>0.5043478260869565</v>
      </c>
      <c r="J237" s="16" t="n">
        <v>0.4980033588356036</v>
      </c>
      <c r="K237" s="17" t="n"/>
      <c r="L237" s="18" t="n"/>
      <c r="M237" s="14" t="inlineStr">
        <is>
          <t>sensitive-pii-m2v-mixed-v2 [s4_c_all]</t>
        </is>
      </c>
      <c r="N237" s="19">
        <f>IFERROR(IF(P237&lt;&gt;"",IF(INDEX($P$2:$P$417,MATCH($M237,$A$2:$A$417,0))="","",P237-INDEX($P$2:$P$417,MATCH($M237,$A$2:$A$417,0))),IF(H237&lt;&gt;"",IF(INDEX($H$2:$H$417,MATCH($M237,$A$2:$A$417,0))="","",H237-INDEX($H$2:$H$417,MATCH($M237,$A$2:$A$417,0))),IF(O237&lt;&gt;"",IF(INDEX($O$2:$O$417,MATCH($M237,$A$2:$A$417,0))="","",O237-INDEX($O$2:$O$417,MATCH($M237,$A$2:$A$417,0))),IF(Q237&lt;&gt;"",IF(INDEX($Q$2:$Q$417,MATCH($M237,$A$2:$A$417,0))="","",Q237-INDEX($Q$2:$Q$417,MATCH($M237,$A$2:$A$417,0))),"")))),"")</f>
        <v/>
      </c>
      <c r="O237" s="16" t="n"/>
      <c r="P237" s="16" t="n"/>
      <c r="Q237" s="16" t="n"/>
      <c r="R237" s="16" t="n"/>
      <c r="S237" s="16" t="n"/>
      <c r="T237" s="16" t="n"/>
      <c r="U237" s="16" t="n"/>
      <c r="V237" s="16" t="n"/>
      <c r="W237" s="16" t="n"/>
      <c r="X237" s="16" t="n"/>
      <c r="Y237" s="20" t="n"/>
      <c r="Z237" s="20" t="n"/>
      <c r="AA237" s="16" t="n"/>
      <c r="AB237" s="21" t="inlineStr">
        <is>
          <t>two-stage: binary gate g_emb_tags_chunk at 0.85 in front of the tagger at global0.65</t>
        </is>
      </c>
      <c r="AC237" s="21" t="n"/>
    </row>
    <row r="238" ht="28" customHeight="1">
      <c r="A238" s="2" t="inlineStr">
        <is>
          <t>R3.22</t>
        </is>
      </c>
      <c r="B238" s="3" t="n">
        <v>46254</v>
      </c>
      <c r="C238" s="2" t="inlineStr">
        <is>
          <t>sensitive</t>
        </is>
      </c>
      <c r="D238" s="2" t="inlineStr">
        <is>
          <t>gate[g_emb_tags_chunk] -&gt; tagger[pertag]</t>
        </is>
      </c>
      <c r="E238" s="2" t="inlineStr">
        <is>
          <t>datax_eval</t>
        </is>
      </c>
      <c r="F238" s="4" t="inlineStr">
        <is>
          <t>T1</t>
        </is>
      </c>
      <c r="G238" s="5" t="n">
        <v>20000</v>
      </c>
      <c r="H238" s="6" t="n">
        <v>0.7311657414750199</v>
      </c>
      <c r="I238" s="6" t="n">
        <v>0.7264076130055511</v>
      </c>
      <c r="J238" s="6" t="n">
        <v>0.6772402854877082</v>
      </c>
      <c r="K238" s="7" t="n"/>
      <c r="L238" s="8" t="n"/>
      <c r="M238" s="4" t="inlineStr">
        <is>
          <t>sensitive-pii-m2v-mixed-v2 [s4_c_all]</t>
        </is>
      </c>
      <c r="N238" s="9">
        <f>IFERROR(IF(P238&lt;&gt;"",IF(INDEX($P$2:$P$417,MATCH($M238,$A$2:$A$417,0))="","",P238-INDEX($P$2:$P$417,MATCH($M238,$A$2:$A$417,0))),IF(H238&lt;&gt;"",IF(INDEX($H$2:$H$417,MATCH($M238,$A$2:$A$417,0))="","",H238-INDEX($H$2:$H$417,MATCH($M238,$A$2:$A$417,0))),IF(O238&lt;&gt;"",IF(INDEX($O$2:$O$417,MATCH($M238,$A$2:$A$417,0))="","",O238-INDEX($O$2:$O$417,MATCH($M238,$A$2:$A$417,0))),IF(Q238&lt;&gt;"",IF(INDEX($Q$2:$Q$417,MATCH($M238,$A$2:$A$417,0))="","",Q238-INDEX($Q$2:$Q$417,MATCH($M238,$A$2:$A$417,0))),"")))),"")</f>
        <v/>
      </c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10" t="n"/>
      <c r="Z238" s="10" t="n"/>
      <c r="AA238" s="6" t="n"/>
      <c r="AB238" s="11" t="inlineStr">
        <is>
          <t>two-stage: binary gate g_emb_tags_chunk at 0.8 in front of the tagger at pertag</t>
        </is>
      </c>
      <c r="AC238" s="11" t="n"/>
    </row>
    <row r="239" ht="28" customHeight="1">
      <c r="A239" s="12" t="inlineStr">
        <is>
          <t>R3.23</t>
        </is>
      </c>
      <c r="B239" s="13" t="n">
        <v>46254</v>
      </c>
      <c r="C239" s="12" t="inlineStr">
        <is>
          <t>sensitive</t>
        </is>
      </c>
      <c r="D239" s="12" t="inlineStr">
        <is>
          <t>gate[g_emb_tags_chunk] -&gt; tagger[pertag]</t>
        </is>
      </c>
      <c r="E239" s="12" t="inlineStr">
        <is>
          <t>govdocs2_eval20</t>
        </is>
      </c>
      <c r="F239" s="14" t="inlineStr">
        <is>
          <t>T1</t>
        </is>
      </c>
      <c r="G239" s="15" t="n">
        <v>20000</v>
      </c>
      <c r="H239" s="16" t="n">
        <v>0.5365079365079365</v>
      </c>
      <c r="I239" s="16" t="n">
        <v>0.5269841269841269</v>
      </c>
      <c r="J239" s="16" t="n">
        <v>0.4952380952380953</v>
      </c>
      <c r="K239" s="17" t="n"/>
      <c r="L239" s="18" t="n"/>
      <c r="M239" s="14" t="inlineStr">
        <is>
          <t>sensitive-pii-m2v-mixed-v2 [s4_c_all]</t>
        </is>
      </c>
      <c r="N239" s="19">
        <f>IFERROR(IF(P239&lt;&gt;"",IF(INDEX($P$2:$P$417,MATCH($M239,$A$2:$A$417,0))="","",P239-INDEX($P$2:$P$417,MATCH($M239,$A$2:$A$417,0))),IF(H239&lt;&gt;"",IF(INDEX($H$2:$H$417,MATCH($M239,$A$2:$A$417,0))="","",H239-INDEX($H$2:$H$417,MATCH($M239,$A$2:$A$417,0))),IF(O239&lt;&gt;"",IF(INDEX($O$2:$O$417,MATCH($M239,$A$2:$A$417,0))="","",O239-INDEX($O$2:$O$417,MATCH($M239,$A$2:$A$417,0))),IF(Q239&lt;&gt;"",IF(INDEX($Q$2:$Q$417,MATCH($M239,$A$2:$A$417,0))="","",Q239-INDEX($Q$2:$Q$417,MATCH($M239,$A$2:$A$417,0))),"")))),"")</f>
        <v/>
      </c>
      <c r="O239" s="16" t="n"/>
      <c r="P239" s="16" t="n"/>
      <c r="Q239" s="16" t="n"/>
      <c r="R239" s="16" t="n"/>
      <c r="S239" s="16" t="n"/>
      <c r="T239" s="16" t="n"/>
      <c r="U239" s="16" t="n"/>
      <c r="V239" s="16" t="n"/>
      <c r="W239" s="16" t="n"/>
      <c r="X239" s="16" t="n"/>
      <c r="Y239" s="20" t="n"/>
      <c r="Z239" s="20" t="n"/>
      <c r="AA239" s="16" t="n"/>
      <c r="AB239" s="21" t="inlineStr">
        <is>
          <t>two-stage: binary gate g_emb_tags_chunk at 0.8 in front of the tagger at pertag</t>
        </is>
      </c>
      <c r="AC239" s="21" t="n"/>
    </row>
    <row r="240" ht="28" customHeight="1">
      <c r="A240" s="2" t="inlineStr">
        <is>
          <t>R3.24</t>
        </is>
      </c>
      <c r="B240" s="3" t="n">
        <v>46254</v>
      </c>
      <c r="C240" s="2" t="inlineStr">
        <is>
          <t>sensitive</t>
        </is>
      </c>
      <c r="D240" s="2" t="inlineStr">
        <is>
          <t>gate[g_emb_tags_chunk] -&gt; tagger[pertag]</t>
        </is>
      </c>
      <c r="E240" s="2" t="inlineStr">
        <is>
          <t>holdout20k</t>
        </is>
      </c>
      <c r="F240" s="4" t="inlineStr">
        <is>
          <t>T1</t>
        </is>
      </c>
      <c r="G240" s="5" t="n">
        <v>20000</v>
      </c>
      <c r="H240" s="6" t="n">
        <v>0.5457640624434061</v>
      </c>
      <c r="I240" s="6" t="n">
        <v>0.5446774602484697</v>
      </c>
      <c r="J240" s="6" t="n">
        <v>0.5356948821036619</v>
      </c>
      <c r="K240" s="7" t="n"/>
      <c r="L240" s="8" t="n"/>
      <c r="M240" s="4" t="inlineStr">
        <is>
          <t>sensitive-pii-m2v-mixed-v2 [s4_c_all]</t>
        </is>
      </c>
      <c r="N240" s="9">
        <f>IFERROR(IF(P240&lt;&gt;"",IF(INDEX($P$2:$P$417,MATCH($M240,$A$2:$A$417,0))="","",P240-INDEX($P$2:$P$417,MATCH($M240,$A$2:$A$417,0))),IF(H240&lt;&gt;"",IF(INDEX($H$2:$H$417,MATCH($M240,$A$2:$A$417,0))="","",H240-INDEX($H$2:$H$417,MATCH($M240,$A$2:$A$417,0))),IF(O240&lt;&gt;"",IF(INDEX($O$2:$O$417,MATCH($M240,$A$2:$A$417,0))="","",O240-INDEX($O$2:$O$417,MATCH($M240,$A$2:$A$417,0))),IF(Q240&lt;&gt;"",IF(INDEX($Q$2:$Q$417,MATCH($M240,$A$2:$A$417,0))="","",Q240-INDEX($Q$2:$Q$417,MATCH($M240,$A$2:$A$417,0))),"")))),"")</f>
        <v/>
      </c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10" t="n"/>
      <c r="Z240" s="10" t="n"/>
      <c r="AA240" s="6" t="n"/>
      <c r="AB240" s="11" t="inlineStr">
        <is>
          <t>two-stage: binary gate g_emb_tags_chunk at 0.8 in front of the tagger at pertag</t>
        </is>
      </c>
      <c r="AC240" s="11" t="n"/>
    </row>
    <row r="241" ht="28" customHeight="1">
      <c r="A241" s="12" t="inlineStr">
        <is>
          <t>R3.25</t>
        </is>
      </c>
      <c r="B241" s="13" t="n">
        <v>46254</v>
      </c>
      <c r="C241" s="12" t="inlineStr">
        <is>
          <t>sensitive</t>
        </is>
      </c>
      <c r="D241" s="12" t="inlineStr">
        <is>
          <t>gate[g_emb_tags_chunk] -&gt; tagger[rank_only]</t>
        </is>
      </c>
      <c r="E241" s="12" t="inlineStr">
        <is>
          <t>datax_eval</t>
        </is>
      </c>
      <c r="F241" s="14" t="inlineStr">
        <is>
          <t>T1</t>
        </is>
      </c>
      <c r="G241" s="15" t="n">
        <v>20000</v>
      </c>
      <c r="H241" s="16" t="n">
        <v>0.7823439878234398</v>
      </c>
      <c r="I241" s="16" t="n">
        <v>0.7671232876712328</v>
      </c>
      <c r="J241" s="16" t="n">
        <v>0.7001522070015221</v>
      </c>
      <c r="K241" s="17" t="n"/>
      <c r="L241" s="18" t="n"/>
      <c r="M241" s="14" t="inlineStr">
        <is>
          <t>sensitive-pii-m2v-mixed-v2 [s4_c_all]</t>
        </is>
      </c>
      <c r="N241" s="19">
        <f>IFERROR(IF(P241&lt;&gt;"",IF(INDEX($P$2:$P$417,MATCH($M241,$A$2:$A$417,0))="","",P241-INDEX($P$2:$P$417,MATCH($M241,$A$2:$A$417,0))),IF(H241&lt;&gt;"",IF(INDEX($H$2:$H$417,MATCH($M241,$A$2:$A$417,0))="","",H241-INDEX($H$2:$H$417,MATCH($M241,$A$2:$A$417,0))),IF(O241&lt;&gt;"",IF(INDEX($O$2:$O$417,MATCH($M241,$A$2:$A$417,0))="","",O241-INDEX($O$2:$O$417,MATCH($M241,$A$2:$A$417,0))),IF(Q241&lt;&gt;"",IF(INDEX($Q$2:$Q$417,MATCH($M241,$A$2:$A$417,0))="","",Q241-INDEX($Q$2:$Q$417,MATCH($M241,$A$2:$A$417,0))),"")))),"")</f>
        <v/>
      </c>
      <c r="O241" s="16" t="n"/>
      <c r="P241" s="16" t="n"/>
      <c r="Q241" s="16" t="n"/>
      <c r="R241" s="16" t="n"/>
      <c r="S241" s="16" t="n"/>
      <c r="T241" s="16" t="n"/>
      <c r="U241" s="16" t="n"/>
      <c r="V241" s="16" t="n"/>
      <c r="W241" s="16" t="n"/>
      <c r="X241" s="16" t="n"/>
      <c r="Y241" s="20" t="n"/>
      <c r="Z241" s="20" t="n"/>
      <c r="AA241" s="16" t="n"/>
      <c r="AB241" s="21" t="inlineStr">
        <is>
          <t>two-stage: binary gate g_emb_tags_chunk at 0.8 in front of the tagger at rank_only</t>
        </is>
      </c>
      <c r="AC241" s="21" t="n"/>
    </row>
    <row r="242" ht="28" customHeight="1">
      <c r="A242" s="2" t="inlineStr">
        <is>
          <t>R3.26</t>
        </is>
      </c>
      <c r="B242" s="3" t="n">
        <v>46254</v>
      </c>
      <c r="C242" s="2" t="inlineStr">
        <is>
          <t>sensitive</t>
        </is>
      </c>
      <c r="D242" s="2" t="inlineStr">
        <is>
          <t>gate[g_emb_tags_chunk] -&gt; tagger[rank_only]</t>
        </is>
      </c>
      <c r="E242" s="2" t="inlineStr">
        <is>
          <t>govdocs2_eval20</t>
        </is>
      </c>
      <c r="F242" s="4" t="inlineStr">
        <is>
          <t>T1</t>
        </is>
      </c>
      <c r="G242" s="5" t="n">
        <v>20000</v>
      </c>
      <c r="H242" s="6" t="n">
        <v>0.538243626062323</v>
      </c>
      <c r="I242" s="6" t="n">
        <v>0.5325779036827195</v>
      </c>
      <c r="J242" s="6" t="n">
        <v>0.5070821529745043</v>
      </c>
      <c r="K242" s="7" t="n"/>
      <c r="L242" s="8" t="n"/>
      <c r="M242" s="4" t="inlineStr">
        <is>
          <t>sensitive-pii-m2v-mixed-v2 [s4_c_all]</t>
        </is>
      </c>
      <c r="N242" s="9">
        <f>IFERROR(IF(P242&lt;&gt;"",IF(INDEX($P$2:$P$417,MATCH($M242,$A$2:$A$417,0))="","",P242-INDEX($P$2:$P$417,MATCH($M242,$A$2:$A$417,0))),IF(H242&lt;&gt;"",IF(INDEX($H$2:$H$417,MATCH($M242,$A$2:$A$417,0))="","",H242-INDEX($H$2:$H$417,MATCH($M242,$A$2:$A$417,0))),IF(O242&lt;&gt;"",IF(INDEX($O$2:$O$417,MATCH($M242,$A$2:$A$417,0))="","",O242-INDEX($O$2:$O$417,MATCH($M242,$A$2:$A$417,0))),IF(Q242&lt;&gt;"",IF(INDEX($Q$2:$Q$417,MATCH($M242,$A$2:$A$417,0))="","",Q242-INDEX($Q$2:$Q$417,MATCH($M242,$A$2:$A$417,0))),"")))),"")</f>
        <v/>
      </c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10" t="n"/>
      <c r="Z242" s="10" t="n"/>
      <c r="AA242" s="6" t="n"/>
      <c r="AB242" s="11" t="inlineStr">
        <is>
          <t>two-stage: binary gate g_emb_tags_chunk at 0.8 in front of the tagger at rank_only</t>
        </is>
      </c>
      <c r="AC242" s="11" t="n"/>
    </row>
    <row r="243" ht="28" customHeight="1">
      <c r="A243" s="12" t="inlineStr">
        <is>
          <t>R3.27</t>
        </is>
      </c>
      <c r="B243" s="13" t="n">
        <v>46254</v>
      </c>
      <c r="C243" s="12" t="inlineStr">
        <is>
          <t>sensitive</t>
        </is>
      </c>
      <c r="D243" s="12" t="inlineStr">
        <is>
          <t>gate[g_emb_tags_chunk] -&gt; tagger[rank_only]</t>
        </is>
      </c>
      <c r="E243" s="12" t="inlineStr">
        <is>
          <t>holdout20k</t>
        </is>
      </c>
      <c r="F243" s="14" t="inlineStr">
        <is>
          <t>T1</t>
        </is>
      </c>
      <c r="G243" s="15" t="n">
        <v>20000</v>
      </c>
      <c r="H243" s="16" t="n">
        <v>0.5592945834083138</v>
      </c>
      <c r="I243" s="16" t="n">
        <v>0.5583588267050565</v>
      </c>
      <c r="J243" s="16" t="n">
        <v>0.5496490912362785</v>
      </c>
      <c r="K243" s="17" t="n"/>
      <c r="L243" s="18" t="n"/>
      <c r="M243" s="14" t="inlineStr">
        <is>
          <t>sensitive-pii-m2v-mixed-v2 [s4_c_all]</t>
        </is>
      </c>
      <c r="N243" s="19">
        <f>IFERROR(IF(P243&lt;&gt;"",IF(INDEX($P$2:$P$417,MATCH($M243,$A$2:$A$417,0))="","",P243-INDEX($P$2:$P$417,MATCH($M243,$A$2:$A$417,0))),IF(H243&lt;&gt;"",IF(INDEX($H$2:$H$417,MATCH($M243,$A$2:$A$417,0))="","",H243-INDEX($H$2:$H$417,MATCH($M243,$A$2:$A$417,0))),IF(O243&lt;&gt;"",IF(INDEX($O$2:$O$417,MATCH($M243,$A$2:$A$417,0))="","",O243-INDEX($O$2:$O$417,MATCH($M243,$A$2:$A$417,0))),IF(Q243&lt;&gt;"",IF(INDEX($Q$2:$Q$417,MATCH($M243,$A$2:$A$417,0))="","",Q243-INDEX($Q$2:$Q$417,MATCH($M243,$A$2:$A$417,0))),"")))),"")</f>
        <v/>
      </c>
      <c r="O243" s="16" t="n"/>
      <c r="P243" s="16" t="n"/>
      <c r="Q243" s="16" t="n"/>
      <c r="R243" s="16" t="n"/>
      <c r="S243" s="16" t="n"/>
      <c r="T243" s="16" t="n"/>
      <c r="U243" s="16" t="n"/>
      <c r="V243" s="16" t="n"/>
      <c r="W243" s="16" t="n"/>
      <c r="X243" s="16" t="n"/>
      <c r="Y243" s="20" t="n"/>
      <c r="Z243" s="20" t="n"/>
      <c r="AA243" s="16" t="n"/>
      <c r="AB243" s="21" t="inlineStr">
        <is>
          <t>two-stage: binary gate g_emb_tags_chunk at 0.8 in front of the tagger at rank_only</t>
        </is>
      </c>
      <c r="AC243" s="21" t="n"/>
    </row>
    <row r="244" ht="28" customHeight="1">
      <c r="A244" s="2" t="inlineStr">
        <is>
          <t>R3.28</t>
        </is>
      </c>
      <c r="B244" s="3" t="n">
        <v>46254</v>
      </c>
      <c r="C244" s="2" t="inlineStr">
        <is>
          <t>sensitive</t>
        </is>
      </c>
      <c r="D244" s="2" t="inlineStr">
        <is>
          <t>gate[g_emb_tags_chunk_100k.25] -&gt; tagger[global0.65]</t>
        </is>
      </c>
      <c r="E244" s="2" t="inlineStr">
        <is>
          <t>datax_eval</t>
        </is>
      </c>
      <c r="F244" s="4" t="inlineStr">
        <is>
          <t>T1</t>
        </is>
      </c>
      <c r="G244" s="5" t="n">
        <v>20000</v>
      </c>
      <c r="H244" s="6" t="n">
        <v>0.7291501191421762</v>
      </c>
      <c r="I244" s="6" t="n">
        <v>0.7259729944400316</v>
      </c>
      <c r="J244" s="6" t="n">
        <v>0.6735504368546466</v>
      </c>
      <c r="K244" s="7" t="n"/>
      <c r="L244" s="8" t="n"/>
      <c r="M244" s="4" t="inlineStr">
        <is>
          <t>sensitive-pii-m2v-mixed-v2 [s4_c_all]</t>
        </is>
      </c>
      <c r="N244" s="9">
        <f>IFERROR(IF(P244&lt;&gt;"",IF(INDEX($P$2:$P$417,MATCH($M244,$A$2:$A$417,0))="","",P244-INDEX($P$2:$P$417,MATCH($M244,$A$2:$A$417,0))),IF(H244&lt;&gt;"",IF(INDEX($H$2:$H$417,MATCH($M244,$A$2:$A$417,0))="","",H244-INDEX($H$2:$H$417,MATCH($M244,$A$2:$A$417,0))),IF(O244&lt;&gt;"",IF(INDEX($O$2:$O$417,MATCH($M244,$A$2:$A$417,0))="","",O244-INDEX($O$2:$O$417,MATCH($M244,$A$2:$A$417,0))),IF(Q244&lt;&gt;"",IF(INDEX($Q$2:$Q$417,MATCH($M244,$A$2:$A$417,0))="","",Q244-INDEX($Q$2:$Q$417,MATCH($M244,$A$2:$A$417,0))),"")))),"")</f>
        <v/>
      </c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10" t="n"/>
      <c r="Z244" s="10" t="n"/>
      <c r="AA244" s="6" t="n"/>
      <c r="AB244" s="11" t="inlineStr">
        <is>
          <t>two-stage: binary gate g_emb_tags_chunk_100k.25 at 0.85 in front of the tagger at global0.65</t>
        </is>
      </c>
      <c r="AC244" s="11" t="n"/>
    </row>
    <row r="245" ht="28" customHeight="1">
      <c r="A245" s="12" t="inlineStr">
        <is>
          <t>R3.29</t>
        </is>
      </c>
      <c r="B245" s="13" t="n">
        <v>46254</v>
      </c>
      <c r="C245" s="12" t="inlineStr">
        <is>
          <t>sensitive</t>
        </is>
      </c>
      <c r="D245" s="12" t="inlineStr">
        <is>
          <t>gate[g_emb_tags_chunk_100k.25] -&gt; tagger[global0.65]</t>
        </is>
      </c>
      <c r="E245" s="12" t="inlineStr">
        <is>
          <t>govdocs2_eval20</t>
        </is>
      </c>
      <c r="F245" s="14" t="inlineStr">
        <is>
          <t>T1</t>
        </is>
      </c>
      <c r="G245" s="15" t="n">
        <v>20000</v>
      </c>
      <c r="H245" s="16" t="n">
        <v>0.5305514157973173</v>
      </c>
      <c r="I245" s="16" t="n">
        <v>0.5305514157973173</v>
      </c>
      <c r="J245" s="16" t="n">
        <v>0.5096870342771981</v>
      </c>
      <c r="K245" s="17" t="n"/>
      <c r="L245" s="18" t="n"/>
      <c r="M245" s="14" t="inlineStr">
        <is>
          <t>sensitive-pii-m2v-mixed-v2 [s4_c_all]</t>
        </is>
      </c>
      <c r="N245" s="19">
        <f>IFERROR(IF(P245&lt;&gt;"",IF(INDEX($P$2:$P$417,MATCH($M245,$A$2:$A$417,0))="","",P245-INDEX($P$2:$P$417,MATCH($M245,$A$2:$A$417,0))),IF(H245&lt;&gt;"",IF(INDEX($H$2:$H$417,MATCH($M245,$A$2:$A$417,0))="","",H245-INDEX($H$2:$H$417,MATCH($M245,$A$2:$A$417,0))),IF(O245&lt;&gt;"",IF(INDEX($O$2:$O$417,MATCH($M245,$A$2:$A$417,0))="","",O245-INDEX($O$2:$O$417,MATCH($M245,$A$2:$A$417,0))),IF(Q245&lt;&gt;"",IF(INDEX($Q$2:$Q$417,MATCH($M245,$A$2:$A$417,0))="","",Q245-INDEX($Q$2:$Q$417,MATCH($M245,$A$2:$A$417,0))),"")))),"")</f>
        <v/>
      </c>
      <c r="O245" s="16" t="n"/>
      <c r="P245" s="16" t="n"/>
      <c r="Q245" s="16" t="n"/>
      <c r="R245" s="16" t="n"/>
      <c r="S245" s="16" t="n"/>
      <c r="T245" s="16" t="n"/>
      <c r="U245" s="16" t="n"/>
      <c r="V245" s="16" t="n"/>
      <c r="W245" s="16" t="n"/>
      <c r="X245" s="16" t="n"/>
      <c r="Y245" s="20" t="n"/>
      <c r="Z245" s="20" t="n"/>
      <c r="AA245" s="16" t="n"/>
      <c r="AB245" s="21" t="inlineStr">
        <is>
          <t>two-stage: binary gate g_emb_tags_chunk_100k.25 at 0.85 in front of the tagger at global0.65</t>
        </is>
      </c>
      <c r="AC245" s="21" t="n"/>
    </row>
    <row r="246" ht="28" customHeight="1">
      <c r="A246" s="2" t="inlineStr">
        <is>
          <t>R3.30</t>
        </is>
      </c>
      <c r="B246" s="3" t="n">
        <v>46254</v>
      </c>
      <c r="C246" s="2" t="inlineStr">
        <is>
          <t>sensitive</t>
        </is>
      </c>
      <c r="D246" s="2" t="inlineStr">
        <is>
          <t>gate[g_emb_tags_chunk_100k.25] -&gt; tagger[global0.65]</t>
        </is>
      </c>
      <c r="E246" s="2" t="inlineStr">
        <is>
          <t>holdout20k</t>
        </is>
      </c>
      <c r="F246" s="4" t="inlineStr">
        <is>
          <t>T1</t>
        </is>
      </c>
      <c r="G246" s="5" t="n">
        <v>20000</v>
      </c>
      <c r="H246" s="6" t="n">
        <v>0.9660332724794939</v>
      </c>
      <c r="I246" s="6" t="n">
        <v>0.965776143580777</v>
      </c>
      <c r="J246" s="6" t="n">
        <v>0.9566737805661979</v>
      </c>
      <c r="K246" s="7" t="n"/>
      <c r="L246" s="8" t="n"/>
      <c r="M246" s="4" t="inlineStr">
        <is>
          <t>sensitive-pii-m2v-mixed-v2 [s4_c_all]</t>
        </is>
      </c>
      <c r="N246" s="9">
        <f>IFERROR(IF(P246&lt;&gt;"",IF(INDEX($P$2:$P$417,MATCH($M246,$A$2:$A$417,0))="","",P246-INDEX($P$2:$P$417,MATCH($M246,$A$2:$A$417,0))),IF(H246&lt;&gt;"",IF(INDEX($H$2:$H$417,MATCH($M246,$A$2:$A$417,0))="","",H246-INDEX($H$2:$H$417,MATCH($M246,$A$2:$A$417,0))),IF(O246&lt;&gt;"",IF(INDEX($O$2:$O$417,MATCH($M246,$A$2:$A$417,0))="","",O246-INDEX($O$2:$O$417,MATCH($M246,$A$2:$A$417,0))),IF(Q246&lt;&gt;"",IF(INDEX($Q$2:$Q$417,MATCH($M246,$A$2:$A$417,0))="","",Q246-INDEX($Q$2:$Q$417,MATCH($M246,$A$2:$A$417,0))),"")))),"")</f>
        <v/>
      </c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10" t="n"/>
      <c r="Z246" s="10" t="n"/>
      <c r="AA246" s="6" t="n"/>
      <c r="AB246" s="11" t="inlineStr">
        <is>
          <t>two-stage: binary gate g_emb_tags_chunk_100k.25 at 0.85 in front of the tagger at global0.65</t>
        </is>
      </c>
      <c r="AC246" s="11" t="n"/>
    </row>
    <row r="247" ht="28" customHeight="1">
      <c r="A247" s="12" t="inlineStr">
        <is>
          <t>R3.31</t>
        </is>
      </c>
      <c r="B247" s="13" t="n">
        <v>46254</v>
      </c>
      <c r="C247" s="12" t="inlineStr">
        <is>
          <t>sensitive</t>
        </is>
      </c>
      <c r="D247" s="12" t="inlineStr">
        <is>
          <t>gate[g_emb_tags_chunk_100k.25] -&gt; tagger[pertag]</t>
        </is>
      </c>
      <c r="E247" s="12" t="inlineStr">
        <is>
          <t>datax_eval</t>
        </is>
      </c>
      <c r="F247" s="14" t="inlineStr">
        <is>
          <t>T1</t>
        </is>
      </c>
      <c r="G247" s="15" t="n">
        <v>20000</v>
      </c>
      <c r="H247" s="16" t="n">
        <v>0.7092084006462035</v>
      </c>
      <c r="I247" s="16" t="n">
        <v>0.7043618739903069</v>
      </c>
      <c r="J247" s="16" t="n">
        <v>0.6591276252019386</v>
      </c>
      <c r="K247" s="17" t="n"/>
      <c r="L247" s="18" t="n"/>
      <c r="M247" s="14" t="inlineStr">
        <is>
          <t>sensitive-pii-m2v-mixed-v2 [s4_c_all]</t>
        </is>
      </c>
      <c r="N247" s="19">
        <f>IFERROR(IF(P247&lt;&gt;"",IF(INDEX($P$2:$P$417,MATCH($M247,$A$2:$A$417,0))="","",P247-INDEX($P$2:$P$417,MATCH($M247,$A$2:$A$417,0))),IF(H247&lt;&gt;"",IF(INDEX($H$2:$H$417,MATCH($M247,$A$2:$A$417,0))="","",H247-INDEX($H$2:$H$417,MATCH($M247,$A$2:$A$417,0))),IF(O247&lt;&gt;"",IF(INDEX($O$2:$O$417,MATCH($M247,$A$2:$A$417,0))="","",O247-INDEX($O$2:$O$417,MATCH($M247,$A$2:$A$417,0))),IF(Q247&lt;&gt;"",IF(INDEX($Q$2:$Q$417,MATCH($M247,$A$2:$A$417,0))="","",Q247-INDEX($Q$2:$Q$417,MATCH($M247,$A$2:$A$417,0))),"")))),"")</f>
        <v/>
      </c>
      <c r="O247" s="16" t="n"/>
      <c r="P247" s="16" t="n"/>
      <c r="Q247" s="16" t="n"/>
      <c r="R247" s="16" t="n"/>
      <c r="S247" s="16" t="n"/>
      <c r="T247" s="16" t="n"/>
      <c r="U247" s="16" t="n"/>
      <c r="V247" s="16" t="n"/>
      <c r="W247" s="16" t="n"/>
      <c r="X247" s="16" t="n"/>
      <c r="Y247" s="20" t="n"/>
      <c r="Z247" s="20" t="n"/>
      <c r="AA247" s="16" t="n"/>
      <c r="AB247" s="21" t="inlineStr">
        <is>
          <t>two-stage: binary gate g_emb_tags_chunk_100k.25 at 0.85 in front of the tagger at pertag</t>
        </is>
      </c>
      <c r="AC247" s="21" t="n"/>
    </row>
    <row r="248" ht="28" customHeight="1">
      <c r="A248" s="2" t="inlineStr">
        <is>
          <t>R3.32</t>
        </is>
      </c>
      <c r="B248" s="3" t="n">
        <v>46254</v>
      </c>
      <c r="C248" s="2" t="inlineStr">
        <is>
          <t>sensitive</t>
        </is>
      </c>
      <c r="D248" s="2" t="inlineStr">
        <is>
          <t>gate[g_emb_tags_chunk_100k.25] -&gt; tagger[pertag]</t>
        </is>
      </c>
      <c r="E248" s="2" t="inlineStr">
        <is>
          <t>govdocs2_eval20</t>
        </is>
      </c>
      <c r="F248" s="4" t="inlineStr">
        <is>
          <t>T1</t>
        </is>
      </c>
      <c r="G248" s="5" t="n">
        <v>20000</v>
      </c>
      <c r="H248" s="6" t="n">
        <v>0.5303514376996804</v>
      </c>
      <c r="I248" s="6" t="n">
        <v>0.5207667731629393</v>
      </c>
      <c r="J248" s="6" t="n">
        <v>0.4888178913738019</v>
      </c>
      <c r="K248" s="7" t="n"/>
      <c r="L248" s="8" t="n"/>
      <c r="M248" s="4" t="inlineStr">
        <is>
          <t>sensitive-pii-m2v-mixed-v2 [s4_c_all]</t>
        </is>
      </c>
      <c r="N248" s="9">
        <f>IFERROR(IF(P248&lt;&gt;"",IF(INDEX($P$2:$P$417,MATCH($M248,$A$2:$A$417,0))="","",P248-INDEX($P$2:$P$417,MATCH($M248,$A$2:$A$417,0))),IF(H248&lt;&gt;"",IF(INDEX($H$2:$H$417,MATCH($M248,$A$2:$A$417,0))="","",H248-INDEX($H$2:$H$417,MATCH($M248,$A$2:$A$417,0))),IF(O248&lt;&gt;"",IF(INDEX($O$2:$O$417,MATCH($M248,$A$2:$A$417,0))="","",O248-INDEX($O$2:$O$417,MATCH($M248,$A$2:$A$417,0))),IF(Q248&lt;&gt;"",IF(INDEX($Q$2:$Q$417,MATCH($M248,$A$2:$A$417,0))="","",Q248-INDEX($Q$2:$Q$417,MATCH($M248,$A$2:$A$417,0))),"")))),"")</f>
        <v/>
      </c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10" t="n"/>
      <c r="Z248" s="10" t="n"/>
      <c r="AA248" s="6" t="n"/>
      <c r="AB248" s="11" t="inlineStr">
        <is>
          <t>two-stage: binary gate g_emb_tags_chunk_100k.25 at 0.85 in front of the tagger at pertag</t>
        </is>
      </c>
      <c r="AC248" s="11" t="n"/>
    </row>
    <row r="249" ht="28" customHeight="1">
      <c r="A249" s="12" t="inlineStr">
        <is>
          <t>R3.33</t>
        </is>
      </c>
      <c r="B249" s="13" t="n">
        <v>46254</v>
      </c>
      <c r="C249" s="12" t="inlineStr">
        <is>
          <t>sensitive</t>
        </is>
      </c>
      <c r="D249" s="12" t="inlineStr">
        <is>
          <t>gate[g_emb_tags_chunk_100k.25] -&gt; tagger[pertag]</t>
        </is>
      </c>
      <c r="E249" s="12" t="inlineStr">
        <is>
          <t>holdout20k</t>
        </is>
      </c>
      <c r="F249" s="14" t="inlineStr">
        <is>
          <t>T1</t>
        </is>
      </c>
      <c r="G249" s="15" t="n">
        <v>20000</v>
      </c>
      <c r="H249" s="16" t="n">
        <v>0.9609652967565616</v>
      </c>
      <c r="I249" s="16" t="n">
        <v>0.9599339968029701</v>
      </c>
      <c r="J249" s="16" t="n">
        <v>0.9482803073273861</v>
      </c>
      <c r="K249" s="17" t="n"/>
      <c r="L249" s="18" t="n"/>
      <c r="M249" s="14" t="inlineStr">
        <is>
          <t>sensitive-pii-m2v-mixed-v2 [s4_c_all]</t>
        </is>
      </c>
      <c r="N249" s="19">
        <f>IFERROR(IF(P249&lt;&gt;"",IF(INDEX($P$2:$P$417,MATCH($M249,$A$2:$A$417,0))="","",P249-INDEX($P$2:$P$417,MATCH($M249,$A$2:$A$417,0))),IF(H249&lt;&gt;"",IF(INDEX($H$2:$H$417,MATCH($M249,$A$2:$A$417,0))="","",H249-INDEX($H$2:$H$417,MATCH($M249,$A$2:$A$417,0))),IF(O249&lt;&gt;"",IF(INDEX($O$2:$O$417,MATCH($M249,$A$2:$A$417,0))="","",O249-INDEX($O$2:$O$417,MATCH($M249,$A$2:$A$417,0))),IF(Q249&lt;&gt;"",IF(INDEX($Q$2:$Q$417,MATCH($M249,$A$2:$A$417,0))="","",Q249-INDEX($Q$2:$Q$417,MATCH($M249,$A$2:$A$417,0))),"")))),"")</f>
        <v/>
      </c>
      <c r="O249" s="16" t="n"/>
      <c r="P249" s="16" t="n"/>
      <c r="Q249" s="16" t="n"/>
      <c r="R249" s="16" t="n"/>
      <c r="S249" s="16" t="n"/>
      <c r="T249" s="16" t="n"/>
      <c r="U249" s="16" t="n"/>
      <c r="V249" s="16" t="n"/>
      <c r="W249" s="16" t="n"/>
      <c r="X249" s="16" t="n"/>
      <c r="Y249" s="20" t="n"/>
      <c r="Z249" s="20" t="n"/>
      <c r="AA249" s="16" t="n"/>
      <c r="AB249" s="21" t="inlineStr">
        <is>
          <t>two-stage: binary gate g_emb_tags_chunk_100k.25 at 0.85 in front of the tagger at pertag</t>
        </is>
      </c>
      <c r="AC249" s="21" t="n"/>
    </row>
    <row r="250" ht="28" customHeight="1">
      <c r="A250" s="2" t="inlineStr">
        <is>
          <t>R3.34</t>
        </is>
      </c>
      <c r="B250" s="3" t="n">
        <v>46254</v>
      </c>
      <c r="C250" s="2" t="inlineStr">
        <is>
          <t>sensitive</t>
        </is>
      </c>
      <c r="D250" s="2" t="inlineStr">
        <is>
          <t>gate[g_emb_tags_chunk_100k.25] -&gt; tagger[rank_only]</t>
        </is>
      </c>
      <c r="E250" s="2" t="inlineStr">
        <is>
          <t>datax_eval</t>
        </is>
      </c>
      <c r="F250" s="4" t="inlineStr">
        <is>
          <t>T1</t>
        </is>
      </c>
      <c r="G250" s="5" t="n">
        <v>20000</v>
      </c>
      <c r="H250" s="6" t="n">
        <v>0.7581903276131046</v>
      </c>
      <c r="I250" s="6" t="n">
        <v>0.7425897035881436</v>
      </c>
      <c r="J250" s="6" t="n">
        <v>0.6817472698907957</v>
      </c>
      <c r="K250" s="7" t="n"/>
      <c r="L250" s="8" t="n"/>
      <c r="M250" s="4" t="inlineStr">
        <is>
          <t>sensitive-pii-m2v-mixed-v2 [s4_c_all]</t>
        </is>
      </c>
      <c r="N250" s="9">
        <f>IFERROR(IF(P250&lt;&gt;"",IF(INDEX($P$2:$P$417,MATCH($M250,$A$2:$A$417,0))="","",P250-INDEX($P$2:$P$417,MATCH($M250,$A$2:$A$417,0))),IF(H250&lt;&gt;"",IF(INDEX($H$2:$H$417,MATCH($M250,$A$2:$A$417,0))="","",H250-INDEX($H$2:$H$417,MATCH($M250,$A$2:$A$417,0))),IF(O250&lt;&gt;"",IF(INDEX($O$2:$O$417,MATCH($M250,$A$2:$A$417,0))="","",O250-INDEX($O$2:$O$417,MATCH($M250,$A$2:$A$417,0))),IF(Q250&lt;&gt;"",IF(INDEX($Q$2:$Q$417,MATCH($M250,$A$2:$A$417,0))="","",Q250-INDEX($Q$2:$Q$417,MATCH($M250,$A$2:$A$417,0))),"")))),"")</f>
        <v/>
      </c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10" t="n"/>
      <c r="Z250" s="10" t="n"/>
      <c r="AA250" s="6" t="n"/>
      <c r="AB250" s="11" t="inlineStr">
        <is>
          <t>two-stage: binary gate g_emb_tags_chunk_100k.25 at 0.85 in front of the tagger at rank_only</t>
        </is>
      </c>
      <c r="AC250" s="11" t="n"/>
    </row>
    <row r="251" ht="28" customHeight="1">
      <c r="A251" s="12" t="inlineStr">
        <is>
          <t>R3.35</t>
        </is>
      </c>
      <c r="B251" s="13" t="n">
        <v>46254</v>
      </c>
      <c r="C251" s="12" t="inlineStr">
        <is>
          <t>sensitive</t>
        </is>
      </c>
      <c r="D251" s="12" t="inlineStr">
        <is>
          <t>gate[g_emb_tags_chunk_100k.25] -&gt; tagger[rank_only]</t>
        </is>
      </c>
      <c r="E251" s="12" t="inlineStr">
        <is>
          <t>govdocs2_eval20</t>
        </is>
      </c>
      <c r="F251" s="14" t="inlineStr">
        <is>
          <t>T1</t>
        </is>
      </c>
      <c r="G251" s="15" t="n">
        <v>20000</v>
      </c>
      <c r="H251" s="16" t="n">
        <v>0.5465116279069767</v>
      </c>
      <c r="I251" s="16" t="n">
        <v>0.5377906976744187</v>
      </c>
      <c r="J251" s="16" t="n">
        <v>0.5029069767441861</v>
      </c>
      <c r="K251" s="17" t="n"/>
      <c r="L251" s="18" t="n"/>
      <c r="M251" s="14" t="inlineStr">
        <is>
          <t>sensitive-pii-m2v-mixed-v2 [s4_c_all]</t>
        </is>
      </c>
      <c r="N251" s="19">
        <f>IFERROR(IF(P251&lt;&gt;"",IF(INDEX($P$2:$P$417,MATCH($M251,$A$2:$A$417,0))="","",P251-INDEX($P$2:$P$417,MATCH($M251,$A$2:$A$417,0))),IF(H251&lt;&gt;"",IF(INDEX($H$2:$H$417,MATCH($M251,$A$2:$A$417,0))="","",H251-INDEX($H$2:$H$417,MATCH($M251,$A$2:$A$417,0))),IF(O251&lt;&gt;"",IF(INDEX($O$2:$O$417,MATCH($M251,$A$2:$A$417,0))="","",O251-INDEX($O$2:$O$417,MATCH($M251,$A$2:$A$417,0))),IF(Q251&lt;&gt;"",IF(INDEX($Q$2:$Q$417,MATCH($M251,$A$2:$A$417,0))="","",Q251-INDEX($Q$2:$Q$417,MATCH($M251,$A$2:$A$417,0))),"")))),"")</f>
        <v/>
      </c>
      <c r="O251" s="16" t="n"/>
      <c r="P251" s="16" t="n"/>
      <c r="Q251" s="16" t="n"/>
      <c r="R251" s="16" t="n"/>
      <c r="S251" s="16" t="n"/>
      <c r="T251" s="16" t="n"/>
      <c r="U251" s="16" t="n"/>
      <c r="V251" s="16" t="n"/>
      <c r="W251" s="16" t="n"/>
      <c r="X251" s="16" t="n"/>
      <c r="Y251" s="20" t="n"/>
      <c r="Z251" s="20" t="n"/>
      <c r="AA251" s="16" t="n"/>
      <c r="AB251" s="21" t="inlineStr">
        <is>
          <t>two-stage: binary gate g_emb_tags_chunk_100k.25 at 0.85 in front of the tagger at rank_only</t>
        </is>
      </c>
      <c r="AC251" s="21" t="n"/>
    </row>
    <row r="252" ht="28" customHeight="1">
      <c r="A252" s="2" t="inlineStr">
        <is>
          <t>R3.36</t>
        </is>
      </c>
      <c r="B252" s="3" t="n">
        <v>46254</v>
      </c>
      <c r="C252" s="2" t="inlineStr">
        <is>
          <t>sensitive</t>
        </is>
      </c>
      <c r="D252" s="2" t="inlineStr">
        <is>
          <t>gate[g_emb_tags_chunk_100k.25] -&gt; tagger[rank_only]</t>
        </is>
      </c>
      <c r="E252" s="2" t="inlineStr">
        <is>
          <t>holdout20k</t>
        </is>
      </c>
      <c r="F252" s="4" t="inlineStr">
        <is>
          <t>T1</t>
        </is>
      </c>
      <c r="G252" s="5" t="n">
        <v>20000</v>
      </c>
      <c r="H252" s="6" t="n">
        <v>0.9758952991999182</v>
      </c>
      <c r="I252" s="6" t="n">
        <v>0.9739526085734005</v>
      </c>
      <c r="J252" s="6" t="n">
        <v>0.9588200710615783</v>
      </c>
      <c r="K252" s="7" t="n"/>
      <c r="L252" s="8" t="n"/>
      <c r="M252" s="4" t="inlineStr">
        <is>
          <t>sensitive-pii-m2v-mixed-v2 [s4_c_all]</t>
        </is>
      </c>
      <c r="N252" s="9">
        <f>IFERROR(IF(P252&lt;&gt;"",IF(INDEX($P$2:$P$417,MATCH($M252,$A$2:$A$417,0))="","",P252-INDEX($P$2:$P$417,MATCH($M252,$A$2:$A$417,0))),IF(H252&lt;&gt;"",IF(INDEX($H$2:$H$417,MATCH($M252,$A$2:$A$417,0))="","",H252-INDEX($H$2:$H$417,MATCH($M252,$A$2:$A$417,0))),IF(O252&lt;&gt;"",IF(INDEX($O$2:$O$417,MATCH($M252,$A$2:$A$417,0))="","",O252-INDEX($O$2:$O$417,MATCH($M252,$A$2:$A$417,0))),IF(Q252&lt;&gt;"",IF(INDEX($Q$2:$Q$417,MATCH($M252,$A$2:$A$417,0))="","",Q252-INDEX($Q$2:$Q$417,MATCH($M252,$A$2:$A$417,0))),"")))),"")</f>
        <v/>
      </c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10" t="n"/>
      <c r="Z252" s="10" t="n"/>
      <c r="AA252" s="6" t="n"/>
      <c r="AB252" s="11" t="inlineStr">
        <is>
          <t>two-stage: binary gate g_emb_tags_chunk_100k.25 at 0.85 in front of the tagger at rank_only</t>
        </is>
      </c>
      <c r="AC252" s="11" t="n"/>
    </row>
    <row r="253" ht="28" customHeight="1">
      <c r="A253" s="12" t="inlineStr">
        <is>
          <t>R3.37</t>
        </is>
      </c>
      <c r="B253" s="13" t="n">
        <v>46254</v>
      </c>
      <c r="C253" s="12" t="inlineStr">
        <is>
          <t>sensitive</t>
        </is>
      </c>
      <c r="D253" s="12" t="inlineStr">
        <is>
          <t>gate[g_emb_tags_chunk_100k1] -&gt; tagger[global0.65]</t>
        </is>
      </c>
      <c r="E253" s="12" t="inlineStr">
        <is>
          <t>datax_eval</t>
        </is>
      </c>
      <c r="F253" s="14" t="inlineStr">
        <is>
          <t>T1</t>
        </is>
      </c>
      <c r="G253" s="15" t="n">
        <v>20000</v>
      </c>
      <c r="H253" s="16" t="n">
        <v>0.746987951807229</v>
      </c>
      <c r="I253" s="16" t="n">
        <v>0.7439759036144579</v>
      </c>
      <c r="J253" s="16" t="n">
        <v>0.6912650602409638</v>
      </c>
      <c r="K253" s="17" t="n"/>
      <c r="L253" s="18" t="n"/>
      <c r="M253" s="14" t="inlineStr">
        <is>
          <t>sensitive-pii-m2v-mixed-v2 [s4_c_all]</t>
        </is>
      </c>
      <c r="N253" s="19">
        <f>IFERROR(IF(P253&lt;&gt;"",IF(INDEX($P$2:$P$417,MATCH($M253,$A$2:$A$417,0))="","",P253-INDEX($P$2:$P$417,MATCH($M253,$A$2:$A$417,0))),IF(H253&lt;&gt;"",IF(INDEX($H$2:$H$417,MATCH($M253,$A$2:$A$417,0))="","",H253-INDEX($H$2:$H$417,MATCH($M253,$A$2:$A$417,0))),IF(O253&lt;&gt;"",IF(INDEX($O$2:$O$417,MATCH($M253,$A$2:$A$417,0))="","",O253-INDEX($O$2:$O$417,MATCH($M253,$A$2:$A$417,0))),IF(Q253&lt;&gt;"",IF(INDEX($Q$2:$Q$417,MATCH($M253,$A$2:$A$417,0))="","",Q253-INDEX($Q$2:$Q$417,MATCH($M253,$A$2:$A$417,0))),"")))),"")</f>
        <v/>
      </c>
      <c r="O253" s="16" t="n"/>
      <c r="P253" s="16" t="n"/>
      <c r="Q253" s="16" t="n"/>
      <c r="R253" s="16" t="n"/>
      <c r="S253" s="16" t="n"/>
      <c r="T253" s="16" t="n"/>
      <c r="U253" s="16" t="n"/>
      <c r="V253" s="16" t="n"/>
      <c r="W253" s="16" t="n"/>
      <c r="X253" s="16" t="n"/>
      <c r="Y253" s="20" t="n"/>
      <c r="Z253" s="20" t="n"/>
      <c r="AA253" s="16" t="n"/>
      <c r="AB253" s="21" t="inlineStr">
        <is>
          <t>two-stage: binary gate g_emb_tags_chunk_100k1 at 0.8 in front of the tagger at global0.65</t>
        </is>
      </c>
      <c r="AC253" s="21" t="n"/>
    </row>
    <row r="254" ht="28" customHeight="1">
      <c r="A254" s="2" t="inlineStr">
        <is>
          <t>R3.38</t>
        </is>
      </c>
      <c r="B254" s="3" t="n">
        <v>46254</v>
      </c>
      <c r="C254" s="2" t="inlineStr">
        <is>
          <t>sensitive</t>
        </is>
      </c>
      <c r="D254" s="2" t="inlineStr">
        <is>
          <t>gate[g_emb_tags_chunk_100k1] -&gt; tagger[global0.65]</t>
        </is>
      </c>
      <c r="E254" s="2" t="inlineStr">
        <is>
          <t>govdocs2_eval20</t>
        </is>
      </c>
      <c r="F254" s="4" t="inlineStr">
        <is>
          <t>T1</t>
        </is>
      </c>
      <c r="G254" s="5" t="n">
        <v>20000</v>
      </c>
      <c r="H254" s="6" t="n">
        <v>0.4993498049414825</v>
      </c>
      <c r="I254" s="6" t="n">
        <v>0.4993498049414825</v>
      </c>
      <c r="J254" s="6" t="n">
        <v>0.4811443433029908</v>
      </c>
      <c r="K254" s="7" t="n"/>
      <c r="L254" s="8" t="n"/>
      <c r="M254" s="4" t="inlineStr">
        <is>
          <t>sensitive-pii-m2v-mixed-v2 [s4_c_all]</t>
        </is>
      </c>
      <c r="N254" s="9">
        <f>IFERROR(IF(P254&lt;&gt;"",IF(INDEX($P$2:$P$417,MATCH($M254,$A$2:$A$417,0))="","",P254-INDEX($P$2:$P$417,MATCH($M254,$A$2:$A$417,0))),IF(H254&lt;&gt;"",IF(INDEX($H$2:$H$417,MATCH($M254,$A$2:$A$417,0))="","",H254-INDEX($H$2:$H$417,MATCH($M254,$A$2:$A$417,0))),IF(O254&lt;&gt;"",IF(INDEX($O$2:$O$417,MATCH($M254,$A$2:$A$417,0))="","",O254-INDEX($O$2:$O$417,MATCH($M254,$A$2:$A$417,0))),IF(Q254&lt;&gt;"",IF(INDEX($Q$2:$Q$417,MATCH($M254,$A$2:$A$417,0))="","",Q254-INDEX($Q$2:$Q$417,MATCH($M254,$A$2:$A$417,0))),"")))),"")</f>
        <v/>
      </c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10" t="n"/>
      <c r="Z254" s="10" t="n"/>
      <c r="AA254" s="6" t="n"/>
      <c r="AB254" s="11" t="inlineStr">
        <is>
          <t>two-stage: binary gate g_emb_tags_chunk_100k1 at 0.8 in front of the tagger at global0.65</t>
        </is>
      </c>
      <c r="AC254" s="11" t="n"/>
    </row>
    <row r="255" ht="28" customHeight="1">
      <c r="A255" s="12" t="inlineStr">
        <is>
          <t>R3.39</t>
        </is>
      </c>
      <c r="B255" s="13" t="n">
        <v>46254</v>
      </c>
      <c r="C255" s="12" t="inlineStr">
        <is>
          <t>sensitive</t>
        </is>
      </c>
      <c r="D255" s="12" t="inlineStr">
        <is>
          <t>gate[g_emb_tags_chunk_100k1] -&gt; tagger[global0.65]</t>
        </is>
      </c>
      <c r="E255" s="12" t="inlineStr">
        <is>
          <t>holdout20k</t>
        </is>
      </c>
      <c r="F255" s="14" t="inlineStr">
        <is>
          <t>T1</t>
        </is>
      </c>
      <c r="G255" s="15" t="n">
        <v>20000</v>
      </c>
      <c r="H255" s="16" t="n">
        <v>0.9712708312033534</v>
      </c>
      <c r="I255" s="16" t="n">
        <v>0.9710152336161946</v>
      </c>
      <c r="J255" s="16" t="n">
        <v>0.9616092424087516</v>
      </c>
      <c r="K255" s="17" t="n"/>
      <c r="L255" s="18" t="n"/>
      <c r="M255" s="14" t="inlineStr">
        <is>
          <t>sensitive-pii-m2v-mixed-v2 [s4_c_all]</t>
        </is>
      </c>
      <c r="N255" s="19">
        <f>IFERROR(IF(P255&lt;&gt;"",IF(INDEX($P$2:$P$417,MATCH($M255,$A$2:$A$417,0))="","",P255-INDEX($P$2:$P$417,MATCH($M255,$A$2:$A$417,0))),IF(H255&lt;&gt;"",IF(INDEX($H$2:$H$417,MATCH($M255,$A$2:$A$417,0))="","",H255-INDEX($H$2:$H$417,MATCH($M255,$A$2:$A$417,0))),IF(O255&lt;&gt;"",IF(INDEX($O$2:$O$417,MATCH($M255,$A$2:$A$417,0))="","",O255-INDEX($O$2:$O$417,MATCH($M255,$A$2:$A$417,0))),IF(Q255&lt;&gt;"",IF(INDEX($Q$2:$Q$417,MATCH($M255,$A$2:$A$417,0))="","",Q255-INDEX($Q$2:$Q$417,MATCH($M255,$A$2:$A$417,0))),"")))),"")</f>
        <v/>
      </c>
      <c r="O255" s="16" t="n"/>
      <c r="P255" s="16" t="n"/>
      <c r="Q255" s="16" t="n"/>
      <c r="R255" s="16" t="n"/>
      <c r="S255" s="16" t="n"/>
      <c r="T255" s="16" t="n"/>
      <c r="U255" s="16" t="n"/>
      <c r="V255" s="16" t="n"/>
      <c r="W255" s="16" t="n"/>
      <c r="X255" s="16" t="n"/>
      <c r="Y255" s="20" t="n"/>
      <c r="Z255" s="20" t="n"/>
      <c r="AA255" s="16" t="n"/>
      <c r="AB255" s="21" t="inlineStr">
        <is>
          <t>two-stage: binary gate g_emb_tags_chunk_100k1 at 0.8 in front of the tagger at global0.65</t>
        </is>
      </c>
      <c r="AC255" s="21" t="n"/>
    </row>
    <row r="256" ht="28" customHeight="1">
      <c r="A256" s="2" t="inlineStr">
        <is>
          <t>R3.40</t>
        </is>
      </c>
      <c r="B256" s="3" t="n">
        <v>46254</v>
      </c>
      <c r="C256" s="2" t="inlineStr">
        <is>
          <t>sensitive</t>
        </is>
      </c>
      <c r="D256" s="2" t="inlineStr">
        <is>
          <t>gate[g_emb_tags_chunk_100k1] -&gt; tagger[pertag]</t>
        </is>
      </c>
      <c r="E256" s="2" t="inlineStr">
        <is>
          <t>datax_eval</t>
        </is>
      </c>
      <c r="F256" s="4" t="inlineStr">
        <is>
          <t>T1</t>
        </is>
      </c>
      <c r="G256" s="5" t="n">
        <v>20000</v>
      </c>
      <c r="H256" s="6" t="n">
        <v>0.7229102167182662</v>
      </c>
      <c r="I256" s="6" t="n">
        <v>0.718266253869969</v>
      </c>
      <c r="J256" s="6" t="n">
        <v>0.6702786377708978</v>
      </c>
      <c r="K256" s="7" t="n"/>
      <c r="L256" s="8" t="n"/>
      <c r="M256" s="4" t="inlineStr">
        <is>
          <t>sensitive-pii-m2v-mixed-v2 [s4_c_all]</t>
        </is>
      </c>
      <c r="N256" s="9">
        <f>IFERROR(IF(P256&lt;&gt;"",IF(INDEX($P$2:$P$417,MATCH($M256,$A$2:$A$417,0))="","",P256-INDEX($P$2:$P$417,MATCH($M256,$A$2:$A$417,0))),IF(H256&lt;&gt;"",IF(INDEX($H$2:$H$417,MATCH($M256,$A$2:$A$417,0))="","",H256-INDEX($H$2:$H$417,MATCH($M256,$A$2:$A$417,0))),IF(O256&lt;&gt;"",IF(INDEX($O$2:$O$417,MATCH($M256,$A$2:$A$417,0))="","",O256-INDEX($O$2:$O$417,MATCH($M256,$A$2:$A$417,0))),IF(Q256&lt;&gt;"",IF(INDEX($Q$2:$Q$417,MATCH($M256,$A$2:$A$417,0))="","",Q256-INDEX($Q$2:$Q$417,MATCH($M256,$A$2:$A$417,0))),"")))),"")</f>
        <v/>
      </c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10" t="n"/>
      <c r="Z256" s="10" t="n"/>
      <c r="AA256" s="6" t="n"/>
      <c r="AB256" s="11" t="inlineStr">
        <is>
          <t>two-stage: binary gate g_emb_tags_chunk_100k1 at 0.8 in front of the tagger at pertag</t>
        </is>
      </c>
      <c r="AC256" s="11" t="n"/>
    </row>
    <row r="257" ht="28" customHeight="1">
      <c r="A257" s="12" t="inlineStr">
        <is>
          <t>R3.41</t>
        </is>
      </c>
      <c r="B257" s="13" t="n">
        <v>46254</v>
      </c>
      <c r="C257" s="12" t="inlineStr">
        <is>
          <t>sensitive</t>
        </is>
      </c>
      <c r="D257" s="12" t="inlineStr">
        <is>
          <t>gate[g_emb_tags_chunk_100k1] -&gt; tagger[pertag]</t>
        </is>
      </c>
      <c r="E257" s="12" t="inlineStr">
        <is>
          <t>govdocs2_eval20</t>
        </is>
      </c>
      <c r="F257" s="14" t="inlineStr">
        <is>
          <t>T1</t>
        </is>
      </c>
      <c r="G257" s="15" t="n">
        <v>20000</v>
      </c>
      <c r="H257" s="16" t="n">
        <v>0.5082706766917293</v>
      </c>
      <c r="I257" s="16" t="n">
        <v>0.4992481203007518</v>
      </c>
      <c r="J257" s="16" t="n">
        <v>0.4691729323308271</v>
      </c>
      <c r="K257" s="17" t="n"/>
      <c r="L257" s="18" t="n"/>
      <c r="M257" s="14" t="inlineStr">
        <is>
          <t>sensitive-pii-m2v-mixed-v2 [s4_c_all]</t>
        </is>
      </c>
      <c r="N257" s="19">
        <f>IFERROR(IF(P257&lt;&gt;"",IF(INDEX($P$2:$P$417,MATCH($M257,$A$2:$A$417,0))="","",P257-INDEX($P$2:$P$417,MATCH($M257,$A$2:$A$417,0))),IF(H257&lt;&gt;"",IF(INDEX($H$2:$H$417,MATCH($M257,$A$2:$A$417,0))="","",H257-INDEX($H$2:$H$417,MATCH($M257,$A$2:$A$417,0))),IF(O257&lt;&gt;"",IF(INDEX($O$2:$O$417,MATCH($M257,$A$2:$A$417,0))="","",O257-INDEX($O$2:$O$417,MATCH($M257,$A$2:$A$417,0))),IF(Q257&lt;&gt;"",IF(INDEX($Q$2:$Q$417,MATCH($M257,$A$2:$A$417,0))="","",Q257-INDEX($Q$2:$Q$417,MATCH($M257,$A$2:$A$417,0))),"")))),"")</f>
        <v/>
      </c>
      <c r="O257" s="16" t="n"/>
      <c r="P257" s="16" t="n"/>
      <c r="Q257" s="16" t="n"/>
      <c r="R257" s="16" t="n"/>
      <c r="S257" s="16" t="n"/>
      <c r="T257" s="16" t="n"/>
      <c r="U257" s="16" t="n"/>
      <c r="V257" s="16" t="n"/>
      <c r="W257" s="16" t="n"/>
      <c r="X257" s="16" t="n"/>
      <c r="Y257" s="20" t="n"/>
      <c r="Z257" s="20" t="n"/>
      <c r="AA257" s="16" t="n"/>
      <c r="AB257" s="21" t="inlineStr">
        <is>
          <t>two-stage: binary gate g_emb_tags_chunk_100k1 at 0.8 in front of the tagger at pertag</t>
        </is>
      </c>
      <c r="AC257" s="21" t="n"/>
    </row>
    <row r="258" ht="28" customHeight="1">
      <c r="A258" s="2" t="inlineStr">
        <is>
          <t>R3.42</t>
        </is>
      </c>
      <c r="B258" s="3" t="n">
        <v>46254</v>
      </c>
      <c r="C258" s="2" t="inlineStr">
        <is>
          <t>sensitive</t>
        </is>
      </c>
      <c r="D258" s="2" t="inlineStr">
        <is>
          <t>gate[g_emb_tags_chunk_100k1] -&gt; tagger[pertag]</t>
        </is>
      </c>
      <c r="E258" s="2" t="inlineStr">
        <is>
          <t>holdout20k</t>
        </is>
      </c>
      <c r="F258" s="4" t="inlineStr">
        <is>
          <t>T1</t>
        </is>
      </c>
      <c r="G258" s="5" t="n">
        <v>20000</v>
      </c>
      <c r="H258" s="6" t="n">
        <v>0.9639463817985723</v>
      </c>
      <c r="I258" s="6" t="n">
        <v>0.962919213188845</v>
      </c>
      <c r="J258" s="6" t="n">
        <v>0.9511581326074674</v>
      </c>
      <c r="K258" s="7" t="n"/>
      <c r="L258" s="8" t="n"/>
      <c r="M258" s="4" t="inlineStr">
        <is>
          <t>sensitive-pii-m2v-mixed-v2 [s4_c_all]</t>
        </is>
      </c>
      <c r="N258" s="9">
        <f>IFERROR(IF(P258&lt;&gt;"",IF(INDEX($P$2:$P$417,MATCH($M258,$A$2:$A$417,0))="","",P258-INDEX($P$2:$P$417,MATCH($M258,$A$2:$A$417,0))),IF(H258&lt;&gt;"",IF(INDEX($H$2:$H$417,MATCH($M258,$A$2:$A$417,0))="","",H258-INDEX($H$2:$H$417,MATCH($M258,$A$2:$A$417,0))),IF(O258&lt;&gt;"",IF(INDEX($O$2:$O$417,MATCH($M258,$A$2:$A$417,0))="","",O258-INDEX($O$2:$O$417,MATCH($M258,$A$2:$A$417,0))),IF(Q258&lt;&gt;"",IF(INDEX($Q$2:$Q$417,MATCH($M258,$A$2:$A$417,0))="","",Q258-INDEX($Q$2:$Q$417,MATCH($M258,$A$2:$A$417,0))),"")))),"")</f>
        <v/>
      </c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10" t="n"/>
      <c r="Z258" s="10" t="n"/>
      <c r="AA258" s="6" t="n"/>
      <c r="AB258" s="11" t="inlineStr">
        <is>
          <t>two-stage: binary gate g_emb_tags_chunk_100k1 at 0.8 in front of the tagger at pertag</t>
        </is>
      </c>
      <c r="AC258" s="11" t="n"/>
    </row>
    <row r="259" ht="28" customHeight="1">
      <c r="A259" s="12" t="inlineStr">
        <is>
          <t>R3.43</t>
        </is>
      </c>
      <c r="B259" s="13" t="n">
        <v>46254</v>
      </c>
      <c r="C259" s="12" t="inlineStr">
        <is>
          <t>sensitive</t>
        </is>
      </c>
      <c r="D259" s="12" t="inlineStr">
        <is>
          <t>gate[g_emb_tags_chunk_100k1] -&gt; tagger[rank_only]</t>
        </is>
      </c>
      <c r="E259" s="12" t="inlineStr">
        <is>
          <t>datax_eval</t>
        </is>
      </c>
      <c r="F259" s="14" t="inlineStr">
        <is>
          <t>T1</t>
        </is>
      </c>
      <c r="G259" s="15" t="n">
        <v>20000</v>
      </c>
      <c r="H259" s="16" t="n">
        <v>0.7371847030105777</v>
      </c>
      <c r="I259" s="16" t="n">
        <v>0.7241659886086249</v>
      </c>
      <c r="J259" s="16" t="n">
        <v>0.6672091131000814</v>
      </c>
      <c r="K259" s="17" t="n"/>
      <c r="L259" s="18" t="n"/>
      <c r="M259" s="14" t="inlineStr">
        <is>
          <t>sensitive-pii-m2v-mixed-v2 [s4_c_all]</t>
        </is>
      </c>
      <c r="N259" s="19">
        <f>IFERROR(IF(P259&lt;&gt;"",IF(INDEX($P$2:$P$417,MATCH($M259,$A$2:$A$417,0))="","",P259-INDEX($P$2:$P$417,MATCH($M259,$A$2:$A$417,0))),IF(H259&lt;&gt;"",IF(INDEX($H$2:$H$417,MATCH($M259,$A$2:$A$417,0))="","",H259-INDEX($H$2:$H$417,MATCH($M259,$A$2:$A$417,0))),IF(O259&lt;&gt;"",IF(INDEX($O$2:$O$417,MATCH($M259,$A$2:$A$417,0))="","",O259-INDEX($O$2:$O$417,MATCH($M259,$A$2:$A$417,0))),IF(Q259&lt;&gt;"",IF(INDEX($Q$2:$Q$417,MATCH($M259,$A$2:$A$417,0))="","",Q259-INDEX($Q$2:$Q$417,MATCH($M259,$A$2:$A$417,0))),"")))),"")</f>
        <v/>
      </c>
      <c r="O259" s="16" t="n"/>
      <c r="P259" s="16" t="n"/>
      <c r="Q259" s="16" t="n"/>
      <c r="R259" s="16" t="n"/>
      <c r="S259" s="16" t="n"/>
      <c r="T259" s="16" t="n"/>
      <c r="U259" s="16" t="n"/>
      <c r="V259" s="16" t="n"/>
      <c r="W259" s="16" t="n"/>
      <c r="X259" s="16" t="n"/>
      <c r="Y259" s="20" t="n"/>
      <c r="Z259" s="20" t="n"/>
      <c r="AA259" s="16" t="n"/>
      <c r="AB259" s="21" t="inlineStr">
        <is>
          <t>two-stage: binary gate g_emb_tags_chunk_100k1 at 0.9 in front of the tagger at rank_only</t>
        </is>
      </c>
      <c r="AC259" s="21" t="n"/>
    </row>
    <row r="260" ht="28" customHeight="1">
      <c r="A260" s="2" t="inlineStr">
        <is>
          <t>R3.44</t>
        </is>
      </c>
      <c r="B260" s="3" t="n">
        <v>46254</v>
      </c>
      <c r="C260" s="2" t="inlineStr">
        <is>
          <t>sensitive</t>
        </is>
      </c>
      <c r="D260" s="2" t="inlineStr">
        <is>
          <t>gate[g_emb_tags_chunk_100k1] -&gt; tagger[rank_only]</t>
        </is>
      </c>
      <c r="E260" s="2" t="inlineStr">
        <is>
          <t>govdocs2_eval20</t>
        </is>
      </c>
      <c r="F260" s="4" t="inlineStr">
        <is>
          <t>T1</t>
        </is>
      </c>
      <c r="G260" s="5" t="n">
        <v>20000</v>
      </c>
      <c r="H260" s="6" t="n">
        <v>0.5566037735849056</v>
      </c>
      <c r="I260" s="6" t="n">
        <v>0.550314465408805</v>
      </c>
      <c r="J260" s="6" t="n">
        <v>0.5094339622641509</v>
      </c>
      <c r="K260" s="7" t="n"/>
      <c r="L260" s="8" t="n"/>
      <c r="M260" s="4" t="inlineStr">
        <is>
          <t>sensitive-pii-m2v-mixed-v2 [s4_c_all]</t>
        </is>
      </c>
      <c r="N260" s="9">
        <f>IFERROR(IF(P260&lt;&gt;"",IF(INDEX($P$2:$P$417,MATCH($M260,$A$2:$A$417,0))="","",P260-INDEX($P$2:$P$417,MATCH($M260,$A$2:$A$417,0))),IF(H260&lt;&gt;"",IF(INDEX($H$2:$H$417,MATCH($M260,$A$2:$A$417,0))="","",H260-INDEX($H$2:$H$417,MATCH($M260,$A$2:$A$417,0))),IF(O260&lt;&gt;"",IF(INDEX($O$2:$O$417,MATCH($M260,$A$2:$A$417,0))="","",O260-INDEX($O$2:$O$417,MATCH($M260,$A$2:$A$417,0))),IF(Q260&lt;&gt;"",IF(INDEX($Q$2:$Q$417,MATCH($M260,$A$2:$A$417,0))="","",Q260-INDEX($Q$2:$Q$417,MATCH($M260,$A$2:$A$417,0))),"")))),"")</f>
        <v/>
      </c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10" t="n"/>
      <c r="Z260" s="10" t="n"/>
      <c r="AA260" s="6" t="n"/>
      <c r="AB260" s="11" t="inlineStr">
        <is>
          <t>two-stage: binary gate g_emb_tags_chunk_100k1 at 0.9 in front of the tagger at rank_only</t>
        </is>
      </c>
      <c r="AC260" s="11" t="n"/>
    </row>
    <row r="261" ht="28" customHeight="1">
      <c r="A261" s="12" t="inlineStr">
        <is>
          <t>R3.45</t>
        </is>
      </c>
      <c r="B261" s="13" t="n">
        <v>46254</v>
      </c>
      <c r="C261" s="12" t="inlineStr">
        <is>
          <t>sensitive</t>
        </is>
      </c>
      <c r="D261" s="12" t="inlineStr">
        <is>
          <t>gate[g_emb_tags_chunk_100k1] -&gt; tagger[rank_only]</t>
        </is>
      </c>
      <c r="E261" s="12" t="inlineStr">
        <is>
          <t>holdout20k</t>
        </is>
      </c>
      <c r="F261" s="14" t="inlineStr">
        <is>
          <t>T1</t>
        </is>
      </c>
      <c r="G261" s="15" t="n">
        <v>20000</v>
      </c>
      <c r="H261" s="16" t="n">
        <v>0.9737967777464718</v>
      </c>
      <c r="I261" s="16" t="n">
        <v>0.9715939653185113</v>
      </c>
      <c r="J261" s="16" t="n">
        <v>0.9564816474987833</v>
      </c>
      <c r="K261" s="17" t="n"/>
      <c r="L261" s="18" t="n"/>
      <c r="M261" s="14" t="inlineStr">
        <is>
          <t>sensitive-pii-m2v-mixed-v2 [s4_c_all]</t>
        </is>
      </c>
      <c r="N261" s="19">
        <f>IFERROR(IF(P261&lt;&gt;"",IF(INDEX($P$2:$P$417,MATCH($M261,$A$2:$A$417,0))="","",P261-INDEX($P$2:$P$417,MATCH($M261,$A$2:$A$417,0))),IF(H261&lt;&gt;"",IF(INDEX($H$2:$H$417,MATCH($M261,$A$2:$A$417,0))="","",H261-INDEX($H$2:$H$417,MATCH($M261,$A$2:$A$417,0))),IF(O261&lt;&gt;"",IF(INDEX($O$2:$O$417,MATCH($M261,$A$2:$A$417,0))="","",O261-INDEX($O$2:$O$417,MATCH($M261,$A$2:$A$417,0))),IF(Q261&lt;&gt;"",IF(INDEX($Q$2:$Q$417,MATCH($M261,$A$2:$A$417,0))="","",Q261-INDEX($Q$2:$Q$417,MATCH($M261,$A$2:$A$417,0))),"")))),"")</f>
        <v/>
      </c>
      <c r="O261" s="16" t="n"/>
      <c r="P261" s="16" t="n"/>
      <c r="Q261" s="16" t="n"/>
      <c r="R261" s="16" t="n"/>
      <c r="S261" s="16" t="n"/>
      <c r="T261" s="16" t="n"/>
      <c r="U261" s="16" t="n"/>
      <c r="V261" s="16" t="n"/>
      <c r="W261" s="16" t="n"/>
      <c r="X261" s="16" t="n"/>
      <c r="Y261" s="20" t="n"/>
      <c r="Z261" s="20" t="n"/>
      <c r="AA261" s="16" t="n"/>
      <c r="AB261" s="21" t="inlineStr">
        <is>
          <t>two-stage: binary gate g_emb_tags_chunk_100k1 at 0.9 in front of the tagger at rank_only</t>
        </is>
      </c>
      <c r="AC261" s="21" t="n"/>
    </row>
    <row r="262" ht="28" customHeight="1">
      <c r="A262" s="2" t="inlineStr">
        <is>
          <t>R3.46</t>
        </is>
      </c>
      <c r="B262" s="3" t="n">
        <v>46254</v>
      </c>
      <c r="C262" s="2" t="inlineStr">
        <is>
          <t>sensitive</t>
        </is>
      </c>
      <c r="D262" s="2" t="inlineStr">
        <is>
          <t>gate[g_emb_tags_doc] -&gt; tagger[global0.65]</t>
        </is>
      </c>
      <c r="E262" s="2" t="inlineStr">
        <is>
          <t>datax_eval</t>
        </is>
      </c>
      <c r="F262" s="4" t="inlineStr">
        <is>
          <t>T1</t>
        </is>
      </c>
      <c r="G262" s="5" t="n">
        <v>20000</v>
      </c>
      <c r="H262" s="6" t="n">
        <v>0.7501970055161545</v>
      </c>
      <c r="I262" s="6" t="n">
        <v>0.7486209613869189</v>
      </c>
      <c r="J262" s="6" t="n">
        <v>0.6950354609929078</v>
      </c>
      <c r="K262" s="7" t="n"/>
      <c r="L262" s="8" t="n"/>
      <c r="M262" s="4" t="inlineStr">
        <is>
          <t>sensitive-pii-m2v-mixed-v2 [s4_c_all]</t>
        </is>
      </c>
      <c r="N262" s="9">
        <f>IFERROR(IF(P262&lt;&gt;"",IF(INDEX($P$2:$P$417,MATCH($M262,$A$2:$A$417,0))="","",P262-INDEX($P$2:$P$417,MATCH($M262,$A$2:$A$417,0))),IF(H262&lt;&gt;"",IF(INDEX($H$2:$H$417,MATCH($M262,$A$2:$A$417,0))="","",H262-INDEX($H$2:$H$417,MATCH($M262,$A$2:$A$417,0))),IF(O262&lt;&gt;"",IF(INDEX($O$2:$O$417,MATCH($M262,$A$2:$A$417,0))="","",O262-INDEX($O$2:$O$417,MATCH($M262,$A$2:$A$417,0))),IF(Q262&lt;&gt;"",IF(INDEX($Q$2:$Q$417,MATCH($M262,$A$2:$A$417,0))="","",Q262-INDEX($Q$2:$Q$417,MATCH($M262,$A$2:$A$417,0))),"")))),"")</f>
        <v/>
      </c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10" t="n"/>
      <c r="Z262" s="10" t="n"/>
      <c r="AA262" s="6" t="n"/>
      <c r="AB262" s="11" t="inlineStr">
        <is>
          <t>two-stage: binary gate g_emb_tags_doc at 0.6 in front of the tagger at global0.65</t>
        </is>
      </c>
      <c r="AC262" s="11" t="n"/>
    </row>
    <row r="263" ht="28" customHeight="1">
      <c r="A263" s="12" t="inlineStr">
        <is>
          <t>R3.47</t>
        </is>
      </c>
      <c r="B263" s="13" t="n">
        <v>46254</v>
      </c>
      <c r="C263" s="12" t="inlineStr">
        <is>
          <t>sensitive</t>
        </is>
      </c>
      <c r="D263" s="12" t="inlineStr">
        <is>
          <t>gate[g_emb_tags_doc] -&gt; tagger[global0.65]</t>
        </is>
      </c>
      <c r="E263" s="12" t="inlineStr">
        <is>
          <t>govdocs2_eval20</t>
        </is>
      </c>
      <c r="F263" s="14" t="inlineStr">
        <is>
          <t>T1</t>
        </is>
      </c>
      <c r="G263" s="15" t="n">
        <v>20000</v>
      </c>
      <c r="H263" s="16" t="n">
        <v>0.559349593495935</v>
      </c>
      <c r="I263" s="16" t="n">
        <v>0.559349593495935</v>
      </c>
      <c r="J263" s="16" t="n">
        <v>0.5463414634146342</v>
      </c>
      <c r="K263" s="17" t="n"/>
      <c r="L263" s="18" t="n"/>
      <c r="M263" s="14" t="inlineStr">
        <is>
          <t>sensitive-pii-m2v-mixed-v2 [s4_c_all]</t>
        </is>
      </c>
      <c r="N263" s="19">
        <f>IFERROR(IF(P263&lt;&gt;"",IF(INDEX($P$2:$P$417,MATCH($M263,$A$2:$A$417,0))="","",P263-INDEX($P$2:$P$417,MATCH($M263,$A$2:$A$417,0))),IF(H263&lt;&gt;"",IF(INDEX($H$2:$H$417,MATCH($M263,$A$2:$A$417,0))="","",H263-INDEX($H$2:$H$417,MATCH($M263,$A$2:$A$417,0))),IF(O263&lt;&gt;"",IF(INDEX($O$2:$O$417,MATCH($M263,$A$2:$A$417,0))="","",O263-INDEX($O$2:$O$417,MATCH($M263,$A$2:$A$417,0))),IF(Q263&lt;&gt;"",IF(INDEX($Q$2:$Q$417,MATCH($M263,$A$2:$A$417,0))="","",Q263-INDEX($Q$2:$Q$417,MATCH($M263,$A$2:$A$417,0))),"")))),"")</f>
        <v/>
      </c>
      <c r="O263" s="16" t="n"/>
      <c r="P263" s="16" t="n"/>
      <c r="Q263" s="16" t="n"/>
      <c r="R263" s="16" t="n"/>
      <c r="S263" s="16" t="n"/>
      <c r="T263" s="16" t="n"/>
      <c r="U263" s="16" t="n"/>
      <c r="V263" s="16" t="n"/>
      <c r="W263" s="16" t="n"/>
      <c r="X263" s="16" t="n"/>
      <c r="Y263" s="20" t="n"/>
      <c r="Z263" s="20" t="n"/>
      <c r="AA263" s="16" t="n"/>
      <c r="AB263" s="21" t="inlineStr">
        <is>
          <t>two-stage: binary gate g_emb_tags_doc at 0.6 in front of the tagger at global0.65</t>
        </is>
      </c>
      <c r="AC263" s="21" t="n"/>
    </row>
    <row r="264" ht="28" customHeight="1">
      <c r="A264" s="2" t="inlineStr">
        <is>
          <t>R3.48</t>
        </is>
      </c>
      <c r="B264" s="3" t="n">
        <v>46254</v>
      </c>
      <c r="C264" s="2" t="inlineStr">
        <is>
          <t>sensitive</t>
        </is>
      </c>
      <c r="D264" s="2" t="inlineStr">
        <is>
          <t>gate[g_emb_tags_doc] -&gt; tagger[global0.65]</t>
        </is>
      </c>
      <c r="E264" s="2" t="inlineStr">
        <is>
          <t>holdout20k</t>
        </is>
      </c>
      <c r="F264" s="4" t="inlineStr">
        <is>
          <t>T1</t>
        </is>
      </c>
      <c r="G264" s="5" t="n">
        <v>20000</v>
      </c>
      <c r="H264" s="6" t="n">
        <v>0.5340950706804365</v>
      </c>
      <c r="I264" s="6" t="n">
        <v>0.5339485827290705</v>
      </c>
      <c r="J264" s="6" t="n">
        <v>0.5301398959935546</v>
      </c>
      <c r="K264" s="7" t="n"/>
      <c r="L264" s="8" t="n"/>
      <c r="M264" s="4" t="inlineStr">
        <is>
          <t>sensitive-pii-m2v-mixed-v2 [s4_c_all]</t>
        </is>
      </c>
      <c r="N264" s="9">
        <f>IFERROR(IF(P264&lt;&gt;"",IF(INDEX($P$2:$P$417,MATCH($M264,$A$2:$A$417,0))="","",P264-INDEX($P$2:$P$417,MATCH($M264,$A$2:$A$417,0))),IF(H264&lt;&gt;"",IF(INDEX($H$2:$H$417,MATCH($M264,$A$2:$A$417,0))="","",H264-INDEX($H$2:$H$417,MATCH($M264,$A$2:$A$417,0))),IF(O264&lt;&gt;"",IF(INDEX($O$2:$O$417,MATCH($M264,$A$2:$A$417,0))="","",O264-INDEX($O$2:$O$417,MATCH($M264,$A$2:$A$417,0))),IF(Q264&lt;&gt;"",IF(INDEX($Q$2:$Q$417,MATCH($M264,$A$2:$A$417,0))="","",Q264-INDEX($Q$2:$Q$417,MATCH($M264,$A$2:$A$417,0))),"")))),"")</f>
        <v/>
      </c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10" t="n"/>
      <c r="Z264" s="10" t="n"/>
      <c r="AA264" s="6" t="n"/>
      <c r="AB264" s="11" t="inlineStr">
        <is>
          <t>two-stage: binary gate g_emb_tags_doc at 0.6 in front of the tagger at global0.65</t>
        </is>
      </c>
      <c r="AC264" s="11" t="n"/>
    </row>
    <row r="265" ht="28" customHeight="1">
      <c r="A265" s="12" t="inlineStr">
        <is>
          <t>R3.49</t>
        </is>
      </c>
      <c r="B265" s="13" t="n">
        <v>46254</v>
      </c>
      <c r="C265" s="12" t="inlineStr">
        <is>
          <t>sensitive</t>
        </is>
      </c>
      <c r="D265" s="12" t="inlineStr">
        <is>
          <t>gate[g_emb_tags_doc] -&gt; tagger[pertag]</t>
        </is>
      </c>
      <c r="E265" s="12" t="inlineStr">
        <is>
          <t>datax_eval</t>
        </is>
      </c>
      <c r="F265" s="14" t="inlineStr">
        <is>
          <t>T1</t>
        </is>
      </c>
      <c r="G265" s="15" t="n">
        <v>20000</v>
      </c>
      <c r="H265" s="16" t="n">
        <v>0.7310789049919485</v>
      </c>
      <c r="I265" s="16" t="n">
        <v>0.7262479871175523</v>
      </c>
      <c r="J265" s="16" t="n">
        <v>0.679549114331723</v>
      </c>
      <c r="K265" s="17" t="n"/>
      <c r="L265" s="18" t="n"/>
      <c r="M265" s="14" t="inlineStr">
        <is>
          <t>sensitive-pii-m2v-mixed-v2 [s4_c_all]</t>
        </is>
      </c>
      <c r="N265" s="19">
        <f>IFERROR(IF(P265&lt;&gt;"",IF(INDEX($P$2:$P$417,MATCH($M265,$A$2:$A$417,0))="","",P265-INDEX($P$2:$P$417,MATCH($M265,$A$2:$A$417,0))),IF(H265&lt;&gt;"",IF(INDEX($H$2:$H$417,MATCH($M265,$A$2:$A$417,0))="","",H265-INDEX($H$2:$H$417,MATCH($M265,$A$2:$A$417,0))),IF(O265&lt;&gt;"",IF(INDEX($O$2:$O$417,MATCH($M265,$A$2:$A$417,0))="","",O265-INDEX($O$2:$O$417,MATCH($M265,$A$2:$A$417,0))),IF(Q265&lt;&gt;"",IF(INDEX($Q$2:$Q$417,MATCH($M265,$A$2:$A$417,0))="","",Q265-INDEX($Q$2:$Q$417,MATCH($M265,$A$2:$A$417,0))),"")))),"")</f>
        <v/>
      </c>
      <c r="O265" s="16" t="n"/>
      <c r="P265" s="16" t="n"/>
      <c r="Q265" s="16" t="n"/>
      <c r="R265" s="16" t="n"/>
      <c r="S265" s="16" t="n"/>
      <c r="T265" s="16" t="n"/>
      <c r="U265" s="16" t="n"/>
      <c r="V265" s="16" t="n"/>
      <c r="W265" s="16" t="n"/>
      <c r="X265" s="16" t="n"/>
      <c r="Y265" s="20" t="n"/>
      <c r="Z265" s="20" t="n"/>
      <c r="AA265" s="16" t="n"/>
      <c r="AB265" s="21" t="inlineStr">
        <is>
          <t>two-stage: binary gate g_emb_tags_doc at 0.6 in front of the tagger at pertag</t>
        </is>
      </c>
      <c r="AC265" s="21" t="n"/>
    </row>
    <row r="266" ht="28" customHeight="1">
      <c r="A266" s="2" t="inlineStr">
        <is>
          <t>R3.50</t>
        </is>
      </c>
      <c r="B266" s="3" t="n">
        <v>46254</v>
      </c>
      <c r="C266" s="2" t="inlineStr">
        <is>
          <t>sensitive</t>
        </is>
      </c>
      <c r="D266" s="2" t="inlineStr">
        <is>
          <t>gate[g_emb_tags_doc] -&gt; tagger[pertag]</t>
        </is>
      </c>
      <c r="E266" s="2" t="inlineStr">
        <is>
          <t>govdocs2_eval20</t>
        </is>
      </c>
      <c r="F266" s="4" t="inlineStr">
        <is>
          <t>T1</t>
        </is>
      </c>
      <c r="G266" s="5" t="n">
        <v>20000</v>
      </c>
      <c r="H266" s="6" t="n">
        <v>0.5517241379310345</v>
      </c>
      <c r="I266" s="6" t="n">
        <v>0.5413793103448276</v>
      </c>
      <c r="J266" s="6" t="n">
        <v>0.5068965517241379</v>
      </c>
      <c r="K266" s="7" t="n"/>
      <c r="L266" s="8" t="n"/>
      <c r="M266" s="4" t="inlineStr">
        <is>
          <t>sensitive-pii-m2v-mixed-v2 [s4_c_all]</t>
        </is>
      </c>
      <c r="N266" s="9">
        <f>IFERROR(IF(P266&lt;&gt;"",IF(INDEX($P$2:$P$417,MATCH($M266,$A$2:$A$417,0))="","",P266-INDEX($P$2:$P$417,MATCH($M266,$A$2:$A$417,0))),IF(H266&lt;&gt;"",IF(INDEX($H$2:$H$417,MATCH($M266,$A$2:$A$417,0))="","",H266-INDEX($H$2:$H$417,MATCH($M266,$A$2:$A$417,0))),IF(O266&lt;&gt;"",IF(INDEX($O$2:$O$417,MATCH($M266,$A$2:$A$417,0))="","",O266-INDEX($O$2:$O$417,MATCH($M266,$A$2:$A$417,0))),IF(Q266&lt;&gt;"",IF(INDEX($Q$2:$Q$417,MATCH($M266,$A$2:$A$417,0))="","",Q266-INDEX($Q$2:$Q$417,MATCH($M266,$A$2:$A$417,0))),"")))),"")</f>
        <v/>
      </c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10" t="n"/>
      <c r="Z266" s="10" t="n"/>
      <c r="AA266" s="6" t="n"/>
      <c r="AB266" s="11" t="inlineStr">
        <is>
          <t>two-stage: binary gate g_emb_tags_doc at 0.6 in front of the tagger at pertag</t>
        </is>
      </c>
      <c r="AC266" s="11" t="n"/>
    </row>
    <row r="267" ht="28" customHeight="1">
      <c r="A267" s="12" t="inlineStr">
        <is>
          <t>R3.51</t>
        </is>
      </c>
      <c r="B267" s="13" t="n">
        <v>46254</v>
      </c>
      <c r="C267" s="12" t="inlineStr">
        <is>
          <t>sensitive</t>
        </is>
      </c>
      <c r="D267" s="12" t="inlineStr">
        <is>
          <t>gate[g_emb_tags_doc] -&gt; tagger[pertag]</t>
        </is>
      </c>
      <c r="E267" s="12" t="inlineStr">
        <is>
          <t>holdout20k</t>
        </is>
      </c>
      <c r="F267" s="14" t="inlineStr">
        <is>
          <t>T1</t>
        </is>
      </c>
      <c r="G267" s="15" t="n">
        <v>20000</v>
      </c>
      <c r="H267" s="16" t="n">
        <v>0.5263931774739008</v>
      </c>
      <c r="I267" s="16" t="n">
        <v>0.5254374356712248</v>
      </c>
      <c r="J267" s="16" t="n">
        <v>0.5196294662549625</v>
      </c>
      <c r="K267" s="17" t="n"/>
      <c r="L267" s="18" t="n"/>
      <c r="M267" s="14" t="inlineStr">
        <is>
          <t>sensitive-pii-m2v-mixed-v2 [s4_c_all]</t>
        </is>
      </c>
      <c r="N267" s="19">
        <f>IFERROR(IF(P267&lt;&gt;"",IF(INDEX($P$2:$P$417,MATCH($M267,$A$2:$A$417,0))="","",P267-INDEX($P$2:$P$417,MATCH($M267,$A$2:$A$417,0))),IF(H267&lt;&gt;"",IF(INDEX($H$2:$H$417,MATCH($M267,$A$2:$A$417,0))="","",H267-INDEX($H$2:$H$417,MATCH($M267,$A$2:$A$417,0))),IF(O267&lt;&gt;"",IF(INDEX($O$2:$O$417,MATCH($M267,$A$2:$A$417,0))="","",O267-INDEX($O$2:$O$417,MATCH($M267,$A$2:$A$417,0))),IF(Q267&lt;&gt;"",IF(INDEX($Q$2:$Q$417,MATCH($M267,$A$2:$A$417,0))="","",Q267-INDEX($Q$2:$Q$417,MATCH($M267,$A$2:$A$417,0))),"")))),"")</f>
        <v/>
      </c>
      <c r="O267" s="16" t="n"/>
      <c r="P267" s="16" t="n"/>
      <c r="Q267" s="16" t="n"/>
      <c r="R267" s="16" t="n"/>
      <c r="S267" s="16" t="n"/>
      <c r="T267" s="16" t="n"/>
      <c r="U267" s="16" t="n"/>
      <c r="V267" s="16" t="n"/>
      <c r="W267" s="16" t="n"/>
      <c r="X267" s="16" t="n"/>
      <c r="Y267" s="20" t="n"/>
      <c r="Z267" s="20" t="n"/>
      <c r="AA267" s="16" t="n"/>
      <c r="AB267" s="21" t="inlineStr">
        <is>
          <t>two-stage: binary gate g_emb_tags_doc at 0.6 in front of the tagger at pertag</t>
        </is>
      </c>
      <c r="AC267" s="21" t="n"/>
    </row>
    <row r="268" ht="28" customHeight="1">
      <c r="A268" s="2" t="inlineStr">
        <is>
          <t>R3.52</t>
        </is>
      </c>
      <c r="B268" s="3" t="n">
        <v>46254</v>
      </c>
      <c r="C268" s="2" t="inlineStr">
        <is>
          <t>sensitive</t>
        </is>
      </c>
      <c r="D268" s="2" t="inlineStr">
        <is>
          <t>gate[g_emb_tags_doc] -&gt; tagger[rank_only]</t>
        </is>
      </c>
      <c r="E268" s="2" t="inlineStr">
        <is>
          <t>datax_eval</t>
        </is>
      </c>
      <c r="F268" s="4" t="inlineStr">
        <is>
          <t>T1</t>
        </is>
      </c>
      <c r="G268" s="5" t="n">
        <v>20000</v>
      </c>
      <c r="H268" s="6" t="n">
        <v>0.7833333333333333</v>
      </c>
      <c r="I268" s="6" t="n">
        <v>0.7696969696969698</v>
      </c>
      <c r="J268" s="6" t="n">
        <v>0.7060606060606059</v>
      </c>
      <c r="K268" s="7" t="n"/>
      <c r="L268" s="8" t="n"/>
      <c r="M268" s="4" t="inlineStr">
        <is>
          <t>sensitive-pii-m2v-mixed-v2 [s4_c_all]</t>
        </is>
      </c>
      <c r="N268" s="9">
        <f>IFERROR(IF(P268&lt;&gt;"",IF(INDEX($P$2:$P$417,MATCH($M268,$A$2:$A$417,0))="","",P268-INDEX($P$2:$P$417,MATCH($M268,$A$2:$A$417,0))),IF(H268&lt;&gt;"",IF(INDEX($H$2:$H$417,MATCH($M268,$A$2:$A$417,0))="","",H268-INDEX($H$2:$H$417,MATCH($M268,$A$2:$A$417,0))),IF(O268&lt;&gt;"",IF(INDEX($O$2:$O$417,MATCH($M268,$A$2:$A$417,0))="","",O268-INDEX($O$2:$O$417,MATCH($M268,$A$2:$A$417,0))),IF(Q268&lt;&gt;"",IF(INDEX($Q$2:$Q$417,MATCH($M268,$A$2:$A$417,0))="","",Q268-INDEX($Q$2:$Q$417,MATCH($M268,$A$2:$A$417,0))),"")))),"")</f>
        <v/>
      </c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10" t="n"/>
      <c r="Z268" s="10" t="n"/>
      <c r="AA268" s="6" t="n"/>
      <c r="AB268" s="11" t="inlineStr">
        <is>
          <t>two-stage: binary gate g_emb_tags_doc at 0.55 in front of the tagger at rank_only</t>
        </is>
      </c>
      <c r="AC268" s="11" t="n"/>
    </row>
    <row r="269" ht="28" customHeight="1">
      <c r="A269" s="12" t="inlineStr">
        <is>
          <t>R3.53</t>
        </is>
      </c>
      <c r="B269" s="13" t="n">
        <v>46254</v>
      </c>
      <c r="C269" s="12" t="inlineStr">
        <is>
          <t>sensitive</t>
        </is>
      </c>
      <c r="D269" s="12" t="inlineStr">
        <is>
          <t>gate[g_emb_tags_doc] -&gt; tagger[rank_only]</t>
        </is>
      </c>
      <c r="E269" s="12" t="inlineStr">
        <is>
          <t>govdocs2_eval20</t>
        </is>
      </c>
      <c r="F269" s="14" t="inlineStr">
        <is>
          <t>T1</t>
        </is>
      </c>
      <c r="G269" s="15" t="n">
        <v>20000</v>
      </c>
      <c r="H269" s="16" t="n">
        <v>0.5636363636363636</v>
      </c>
      <c r="I269" s="16" t="n">
        <v>0.5606060606060607</v>
      </c>
      <c r="J269" s="16" t="n">
        <v>0.5303030303030303</v>
      </c>
      <c r="K269" s="17" t="n"/>
      <c r="L269" s="18" t="n"/>
      <c r="M269" s="14" t="inlineStr">
        <is>
          <t>sensitive-pii-m2v-mixed-v2 [s4_c_all]</t>
        </is>
      </c>
      <c r="N269" s="19">
        <f>IFERROR(IF(P269&lt;&gt;"",IF(INDEX($P$2:$P$417,MATCH($M269,$A$2:$A$417,0))="","",P269-INDEX($P$2:$P$417,MATCH($M269,$A$2:$A$417,0))),IF(H269&lt;&gt;"",IF(INDEX($H$2:$H$417,MATCH($M269,$A$2:$A$417,0))="","",H269-INDEX($H$2:$H$417,MATCH($M269,$A$2:$A$417,0))),IF(O269&lt;&gt;"",IF(INDEX($O$2:$O$417,MATCH($M269,$A$2:$A$417,0))="","",O269-INDEX($O$2:$O$417,MATCH($M269,$A$2:$A$417,0))),IF(Q269&lt;&gt;"",IF(INDEX($Q$2:$Q$417,MATCH($M269,$A$2:$A$417,0))="","",Q269-INDEX($Q$2:$Q$417,MATCH($M269,$A$2:$A$417,0))),"")))),"")</f>
        <v/>
      </c>
      <c r="O269" s="16" t="n"/>
      <c r="P269" s="16" t="n"/>
      <c r="Q269" s="16" t="n"/>
      <c r="R269" s="16" t="n"/>
      <c r="S269" s="16" t="n"/>
      <c r="T269" s="16" t="n"/>
      <c r="U269" s="16" t="n"/>
      <c r="V269" s="16" t="n"/>
      <c r="W269" s="16" t="n"/>
      <c r="X269" s="16" t="n"/>
      <c r="Y269" s="20" t="n"/>
      <c r="Z269" s="20" t="n"/>
      <c r="AA269" s="16" t="n"/>
      <c r="AB269" s="21" t="inlineStr">
        <is>
          <t>two-stage: binary gate g_emb_tags_doc at 0.55 in front of the tagger at rank_only</t>
        </is>
      </c>
      <c r="AC269" s="21" t="n"/>
    </row>
    <row r="270" ht="28" customHeight="1">
      <c r="A270" s="2" t="inlineStr">
        <is>
          <t>R3.54</t>
        </is>
      </c>
      <c r="B270" s="3" t="n">
        <v>46254</v>
      </c>
      <c r="C270" s="2" t="inlineStr">
        <is>
          <t>sensitive</t>
        </is>
      </c>
      <c r="D270" s="2" t="inlineStr">
        <is>
          <t>gate[g_emb_tags_doc] -&gt; tagger[rank_only]</t>
        </is>
      </c>
      <c r="E270" s="2" t="inlineStr">
        <is>
          <t>holdout20k</t>
        </is>
      </c>
      <c r="F270" s="4" t="inlineStr">
        <is>
          <t>T1</t>
        </is>
      </c>
      <c r="G270" s="5" t="n">
        <v>20000</v>
      </c>
      <c r="H270" s="6" t="n">
        <v>0.5622282120395328</v>
      </c>
      <c r="I270" s="6" t="n">
        <v>0.5617250673854447</v>
      </c>
      <c r="J270" s="6" t="n">
        <v>0.5566936208445643</v>
      </c>
      <c r="K270" s="7" t="n"/>
      <c r="L270" s="8" t="n"/>
      <c r="M270" s="4" t="inlineStr">
        <is>
          <t>sensitive-pii-m2v-mixed-v2 [s4_c_all]</t>
        </is>
      </c>
      <c r="N270" s="9">
        <f>IFERROR(IF(P270&lt;&gt;"",IF(INDEX($P$2:$P$417,MATCH($M270,$A$2:$A$417,0))="","",P270-INDEX($P$2:$P$417,MATCH($M270,$A$2:$A$417,0))),IF(H270&lt;&gt;"",IF(INDEX($H$2:$H$417,MATCH($M270,$A$2:$A$417,0))="","",H270-INDEX($H$2:$H$417,MATCH($M270,$A$2:$A$417,0))),IF(O270&lt;&gt;"",IF(INDEX($O$2:$O$417,MATCH($M270,$A$2:$A$417,0))="","",O270-INDEX($O$2:$O$417,MATCH($M270,$A$2:$A$417,0))),IF(Q270&lt;&gt;"",IF(INDEX($Q$2:$Q$417,MATCH($M270,$A$2:$A$417,0))="","",Q270-INDEX($Q$2:$Q$417,MATCH($M270,$A$2:$A$417,0))),"")))),"")</f>
        <v/>
      </c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10" t="n"/>
      <c r="Z270" s="10" t="n"/>
      <c r="AA270" s="6" t="n"/>
      <c r="AB270" s="11" t="inlineStr">
        <is>
          <t>two-stage: binary gate g_emb_tags_doc at 0.55 in front of the tagger at rank_only</t>
        </is>
      </c>
      <c r="AC270" s="11" t="n"/>
    </row>
    <row r="271" ht="28" customHeight="1">
      <c r="A271" s="12" t="inlineStr">
        <is>
          <t>R3.55</t>
        </is>
      </c>
      <c r="B271" s="13" t="n">
        <v>46254</v>
      </c>
      <c r="C271" s="12" t="inlineStr">
        <is>
          <t>sensitive</t>
        </is>
      </c>
      <c r="D271" s="12" t="inlineStr">
        <is>
          <t>gate[g_emb_tags_doc_100k.25] -&gt; tagger[global0.65]</t>
        </is>
      </c>
      <c r="E271" s="12" t="inlineStr">
        <is>
          <t>datax_eval</t>
        </is>
      </c>
      <c r="F271" s="14" t="inlineStr">
        <is>
          <t>T1</t>
        </is>
      </c>
      <c r="G271" s="15" t="n">
        <v>20000</v>
      </c>
      <c r="H271" s="16" t="n">
        <v>0.748407643312102</v>
      </c>
      <c r="I271" s="16" t="n">
        <v>0.7468152866242038</v>
      </c>
      <c r="J271" s="16" t="n">
        <v>0.6910828025477707</v>
      </c>
      <c r="K271" s="17" t="n"/>
      <c r="L271" s="18" t="n"/>
      <c r="M271" s="14" t="inlineStr">
        <is>
          <t>sensitive-pii-m2v-mixed-v2 [s4_c_all]</t>
        </is>
      </c>
      <c r="N271" s="19">
        <f>IFERROR(IF(P271&lt;&gt;"",IF(INDEX($P$2:$P$417,MATCH($M271,$A$2:$A$417,0))="","",P271-INDEX($P$2:$P$417,MATCH($M271,$A$2:$A$417,0))),IF(H271&lt;&gt;"",IF(INDEX($H$2:$H$417,MATCH($M271,$A$2:$A$417,0))="","",H271-INDEX($H$2:$H$417,MATCH($M271,$A$2:$A$417,0))),IF(O271&lt;&gt;"",IF(INDEX($O$2:$O$417,MATCH($M271,$A$2:$A$417,0))="","",O271-INDEX($O$2:$O$417,MATCH($M271,$A$2:$A$417,0))),IF(Q271&lt;&gt;"",IF(INDEX($Q$2:$Q$417,MATCH($M271,$A$2:$A$417,0))="","",Q271-INDEX($Q$2:$Q$417,MATCH($M271,$A$2:$A$417,0))),"")))),"")</f>
        <v/>
      </c>
      <c r="O271" s="16" t="n"/>
      <c r="P271" s="16" t="n"/>
      <c r="Q271" s="16" t="n"/>
      <c r="R271" s="16" t="n"/>
      <c r="S271" s="16" t="n"/>
      <c r="T271" s="16" t="n"/>
      <c r="U271" s="16" t="n"/>
      <c r="V271" s="16" t="n"/>
      <c r="W271" s="16" t="n"/>
      <c r="X271" s="16" t="n"/>
      <c r="Y271" s="20" t="n"/>
      <c r="Z271" s="20" t="n"/>
      <c r="AA271" s="16" t="n"/>
      <c r="AB271" s="21" t="inlineStr">
        <is>
          <t>two-stage: binary gate g_emb_tags_doc_100k.25 at 0.65 in front of the tagger at global0.65</t>
        </is>
      </c>
      <c r="AC271" s="21" t="n"/>
    </row>
    <row r="272" ht="28" customHeight="1">
      <c r="A272" s="2" t="inlineStr">
        <is>
          <t>R3.56</t>
        </is>
      </c>
      <c r="B272" s="3" t="n">
        <v>46254</v>
      </c>
      <c r="C272" s="2" t="inlineStr">
        <is>
          <t>sensitive</t>
        </is>
      </c>
      <c r="D272" s="2" t="inlineStr">
        <is>
          <t>gate[g_emb_tags_doc_100k.25] -&gt; tagger[global0.65]</t>
        </is>
      </c>
      <c r="E272" s="2" t="inlineStr">
        <is>
          <t>govdocs2_eval20</t>
        </is>
      </c>
      <c r="F272" s="4" t="inlineStr">
        <is>
          <t>T1</t>
        </is>
      </c>
      <c r="G272" s="5" t="n">
        <v>20000</v>
      </c>
      <c r="H272" s="6" t="n">
        <v>0.5568</v>
      </c>
      <c r="I272" s="6" t="n">
        <v>0.5568</v>
      </c>
      <c r="J272" s="6" t="n">
        <v>0.5408000000000001</v>
      </c>
      <c r="K272" s="7" t="n"/>
      <c r="L272" s="8" t="n"/>
      <c r="M272" s="4" t="inlineStr">
        <is>
          <t>sensitive-pii-m2v-mixed-v2 [s4_c_all]</t>
        </is>
      </c>
      <c r="N272" s="9">
        <f>IFERROR(IF(P272&lt;&gt;"",IF(INDEX($P$2:$P$417,MATCH($M272,$A$2:$A$417,0))="","",P272-INDEX($P$2:$P$417,MATCH($M272,$A$2:$A$417,0))),IF(H272&lt;&gt;"",IF(INDEX($H$2:$H$417,MATCH($M272,$A$2:$A$417,0))="","",H272-INDEX($H$2:$H$417,MATCH($M272,$A$2:$A$417,0))),IF(O272&lt;&gt;"",IF(INDEX($O$2:$O$417,MATCH($M272,$A$2:$A$417,0))="","",O272-INDEX($O$2:$O$417,MATCH($M272,$A$2:$A$417,0))),IF(Q272&lt;&gt;"",IF(INDEX($Q$2:$Q$417,MATCH($M272,$A$2:$A$417,0))="","",Q272-INDEX($Q$2:$Q$417,MATCH($M272,$A$2:$A$417,0))),"")))),"")</f>
        <v/>
      </c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10" t="n"/>
      <c r="Z272" s="10" t="n"/>
      <c r="AA272" s="6" t="n"/>
      <c r="AB272" s="11" t="inlineStr">
        <is>
          <t>two-stage: binary gate g_emb_tags_doc_100k.25 at 0.65 in front of the tagger at global0.65</t>
        </is>
      </c>
      <c r="AC272" s="11" t="n"/>
    </row>
    <row r="273" ht="28" customHeight="1">
      <c r="A273" s="12" t="inlineStr">
        <is>
          <t>R3.57</t>
        </is>
      </c>
      <c r="B273" s="13" t="n">
        <v>46254</v>
      </c>
      <c r="C273" s="12" t="inlineStr">
        <is>
          <t>sensitive</t>
        </is>
      </c>
      <c r="D273" s="12" t="inlineStr">
        <is>
          <t>gate[g_emb_tags_doc_100k.25] -&gt; tagger[global0.65]</t>
        </is>
      </c>
      <c r="E273" s="12" t="inlineStr">
        <is>
          <t>holdout20k</t>
        </is>
      </c>
      <c r="F273" s="14" t="inlineStr">
        <is>
          <t>T1</t>
        </is>
      </c>
      <c r="G273" s="15" t="n">
        <v>20000</v>
      </c>
      <c r="H273" s="16" t="n">
        <v>0.9652261203057836</v>
      </c>
      <c r="I273" s="16" t="n">
        <v>0.964968726673702</v>
      </c>
      <c r="J273" s="16" t="n">
        <v>0.9561658644565133</v>
      </c>
      <c r="K273" s="17" t="n"/>
      <c r="L273" s="18" t="n"/>
      <c r="M273" s="14" t="inlineStr">
        <is>
          <t>sensitive-pii-m2v-mixed-v2 [s4_c_all]</t>
        </is>
      </c>
      <c r="N273" s="19">
        <f>IFERROR(IF(P273&lt;&gt;"",IF(INDEX($P$2:$P$417,MATCH($M273,$A$2:$A$417,0))="","",P273-INDEX($P$2:$P$417,MATCH($M273,$A$2:$A$417,0))),IF(H273&lt;&gt;"",IF(INDEX($H$2:$H$417,MATCH($M273,$A$2:$A$417,0))="","",H273-INDEX($H$2:$H$417,MATCH($M273,$A$2:$A$417,0))),IF(O273&lt;&gt;"",IF(INDEX($O$2:$O$417,MATCH($M273,$A$2:$A$417,0))="","",O273-INDEX($O$2:$O$417,MATCH($M273,$A$2:$A$417,0))),IF(Q273&lt;&gt;"",IF(INDEX($Q$2:$Q$417,MATCH($M273,$A$2:$A$417,0))="","",Q273-INDEX($Q$2:$Q$417,MATCH($M273,$A$2:$A$417,0))),"")))),"")</f>
        <v/>
      </c>
      <c r="O273" s="16" t="n"/>
      <c r="P273" s="16" t="n"/>
      <c r="Q273" s="16" t="n"/>
      <c r="R273" s="16" t="n"/>
      <c r="S273" s="16" t="n"/>
      <c r="T273" s="16" t="n"/>
      <c r="U273" s="16" t="n"/>
      <c r="V273" s="16" t="n"/>
      <c r="W273" s="16" t="n"/>
      <c r="X273" s="16" t="n"/>
      <c r="Y273" s="20" t="n"/>
      <c r="Z273" s="20" t="n"/>
      <c r="AA273" s="16" t="n"/>
      <c r="AB273" s="21" t="inlineStr">
        <is>
          <t>two-stage: binary gate g_emb_tags_doc_100k.25 at 0.65 in front of the tagger at global0.65</t>
        </is>
      </c>
      <c r="AC273" s="21" t="n"/>
    </row>
    <row r="274" ht="28" customHeight="1">
      <c r="A274" s="2" t="inlineStr">
        <is>
          <t>R3.58</t>
        </is>
      </c>
      <c r="B274" s="3" t="n">
        <v>46254</v>
      </c>
      <c r="C274" s="2" t="inlineStr">
        <is>
          <t>sensitive</t>
        </is>
      </c>
      <c r="D274" s="2" t="inlineStr">
        <is>
          <t>gate[g_emb_tags_doc_100k.25] -&gt; tagger[pertag]</t>
        </is>
      </c>
      <c r="E274" s="2" t="inlineStr">
        <is>
          <t>datax_eval</t>
        </is>
      </c>
      <c r="F274" s="4" t="inlineStr">
        <is>
          <t>T1</t>
        </is>
      </c>
      <c r="G274" s="5" t="n">
        <v>20000</v>
      </c>
      <c r="H274" s="6" t="n">
        <v>0.7299843014128727</v>
      </c>
      <c r="I274" s="6" t="n">
        <v>0.7252747252747254</v>
      </c>
      <c r="J274" s="6" t="n">
        <v>0.6797488226059655</v>
      </c>
      <c r="K274" s="7" t="n"/>
      <c r="L274" s="8" t="n"/>
      <c r="M274" s="4" t="inlineStr">
        <is>
          <t>sensitive-pii-m2v-mixed-v2 [s4_c_all]</t>
        </is>
      </c>
      <c r="N274" s="9">
        <f>IFERROR(IF(P274&lt;&gt;"",IF(INDEX($P$2:$P$417,MATCH($M274,$A$2:$A$417,0))="","",P274-INDEX($P$2:$P$417,MATCH($M274,$A$2:$A$417,0))),IF(H274&lt;&gt;"",IF(INDEX($H$2:$H$417,MATCH($M274,$A$2:$A$417,0))="","",H274-INDEX($H$2:$H$417,MATCH($M274,$A$2:$A$417,0))),IF(O274&lt;&gt;"",IF(INDEX($O$2:$O$417,MATCH($M274,$A$2:$A$417,0))="","",O274-INDEX($O$2:$O$417,MATCH($M274,$A$2:$A$417,0))),IF(Q274&lt;&gt;"",IF(INDEX($Q$2:$Q$417,MATCH($M274,$A$2:$A$417,0))="","",Q274-INDEX($Q$2:$Q$417,MATCH($M274,$A$2:$A$417,0))),"")))),"")</f>
        <v/>
      </c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10" t="n"/>
      <c r="Z274" s="10" t="n"/>
      <c r="AA274" s="6" t="n"/>
      <c r="AB274" s="11" t="inlineStr">
        <is>
          <t>two-stage: binary gate g_emb_tags_doc_100k.25 at 0.55 in front of the tagger at pertag</t>
        </is>
      </c>
      <c r="AC274" s="11" t="n"/>
    </row>
    <row r="275" ht="28" customHeight="1">
      <c r="A275" s="12" t="inlineStr">
        <is>
          <t>R3.59</t>
        </is>
      </c>
      <c r="B275" s="13" t="n">
        <v>46254</v>
      </c>
      <c r="C275" s="12" t="inlineStr">
        <is>
          <t>sensitive</t>
        </is>
      </c>
      <c r="D275" s="12" t="inlineStr">
        <is>
          <t>gate[g_emb_tags_doc_100k.25] -&gt; tagger[pertag]</t>
        </is>
      </c>
      <c r="E275" s="12" t="inlineStr">
        <is>
          <t>govdocs2_eval20</t>
        </is>
      </c>
      <c r="F275" s="14" t="inlineStr">
        <is>
          <t>T1</t>
        </is>
      </c>
      <c r="G275" s="15" t="n">
        <v>20000</v>
      </c>
      <c r="H275" s="16" t="n">
        <v>0.5486443381180223</v>
      </c>
      <c r="I275" s="16" t="n">
        <v>0.5390749601275918</v>
      </c>
      <c r="J275" s="16" t="n">
        <v>0.5071770334928229</v>
      </c>
      <c r="K275" s="17" t="n"/>
      <c r="L275" s="18" t="n"/>
      <c r="M275" s="14" t="inlineStr">
        <is>
          <t>sensitive-pii-m2v-mixed-v2 [s4_c_all]</t>
        </is>
      </c>
      <c r="N275" s="19">
        <f>IFERROR(IF(P275&lt;&gt;"",IF(INDEX($P$2:$P$417,MATCH($M275,$A$2:$A$417,0))="","",P275-INDEX($P$2:$P$417,MATCH($M275,$A$2:$A$417,0))),IF(H275&lt;&gt;"",IF(INDEX($H$2:$H$417,MATCH($M275,$A$2:$A$417,0))="","",H275-INDEX($H$2:$H$417,MATCH($M275,$A$2:$A$417,0))),IF(O275&lt;&gt;"",IF(INDEX($O$2:$O$417,MATCH($M275,$A$2:$A$417,0))="","",O275-INDEX($O$2:$O$417,MATCH($M275,$A$2:$A$417,0))),IF(Q275&lt;&gt;"",IF(INDEX($Q$2:$Q$417,MATCH($M275,$A$2:$A$417,0))="","",Q275-INDEX($Q$2:$Q$417,MATCH($M275,$A$2:$A$417,0))),"")))),"")</f>
        <v/>
      </c>
      <c r="O275" s="16" t="n"/>
      <c r="P275" s="16" t="n"/>
      <c r="Q275" s="16" t="n"/>
      <c r="R275" s="16" t="n"/>
      <c r="S275" s="16" t="n"/>
      <c r="T275" s="16" t="n"/>
      <c r="U275" s="16" t="n"/>
      <c r="V275" s="16" t="n"/>
      <c r="W275" s="16" t="n"/>
      <c r="X275" s="16" t="n"/>
      <c r="Y275" s="20" t="n"/>
      <c r="Z275" s="20" t="n"/>
      <c r="AA275" s="16" t="n"/>
      <c r="AB275" s="21" t="inlineStr">
        <is>
          <t>two-stage: binary gate g_emb_tags_doc_100k.25 at 0.55 in front of the tagger at pertag</t>
        </is>
      </c>
      <c r="AC275" s="21" t="n"/>
    </row>
    <row r="276" ht="28" customHeight="1">
      <c r="A276" s="2" t="inlineStr">
        <is>
          <t>R3.60</t>
        </is>
      </c>
      <c r="B276" s="3" t="n">
        <v>46254</v>
      </c>
      <c r="C276" s="2" t="inlineStr">
        <is>
          <t>sensitive</t>
        </is>
      </c>
      <c r="D276" s="2" t="inlineStr">
        <is>
          <t>gate[g_emb_tags_doc_100k.25] -&gt; tagger[pertag]</t>
        </is>
      </c>
      <c r="E276" s="2" t="inlineStr">
        <is>
          <t>holdout20k</t>
        </is>
      </c>
      <c r="F276" s="4" t="inlineStr">
        <is>
          <t>T1</t>
        </is>
      </c>
      <c r="G276" s="5" t="n">
        <v>20000</v>
      </c>
      <c r="H276" s="6" t="n">
        <v>0.9634124392564215</v>
      </c>
      <c r="I276" s="6" t="n">
        <v>0.9623839765510502</v>
      </c>
      <c r="J276" s="6" t="n">
        <v>0.9507109248450878</v>
      </c>
      <c r="K276" s="7" t="n"/>
      <c r="L276" s="8" t="n"/>
      <c r="M276" s="4" t="inlineStr">
        <is>
          <t>sensitive-pii-m2v-mixed-v2 [s4_c_all]</t>
        </is>
      </c>
      <c r="N276" s="9">
        <f>IFERROR(IF(P276&lt;&gt;"",IF(INDEX($P$2:$P$417,MATCH($M276,$A$2:$A$417,0))="","",P276-INDEX($P$2:$P$417,MATCH($M276,$A$2:$A$417,0))),IF(H276&lt;&gt;"",IF(INDEX($H$2:$H$417,MATCH($M276,$A$2:$A$417,0))="","",H276-INDEX($H$2:$H$417,MATCH($M276,$A$2:$A$417,0))),IF(O276&lt;&gt;"",IF(INDEX($O$2:$O$417,MATCH($M276,$A$2:$A$417,0))="","",O276-INDEX($O$2:$O$417,MATCH($M276,$A$2:$A$417,0))),IF(Q276&lt;&gt;"",IF(INDEX($Q$2:$Q$417,MATCH($M276,$A$2:$A$417,0))="","",Q276-INDEX($Q$2:$Q$417,MATCH($M276,$A$2:$A$417,0))),"")))),"")</f>
        <v/>
      </c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10" t="n"/>
      <c r="Z276" s="10" t="n"/>
      <c r="AA276" s="6" t="n"/>
      <c r="AB276" s="11" t="inlineStr">
        <is>
          <t>two-stage: binary gate g_emb_tags_doc_100k.25 at 0.55 in front of the tagger at pertag</t>
        </is>
      </c>
      <c r="AC276" s="11" t="n"/>
    </row>
    <row r="277" ht="28" customHeight="1">
      <c r="A277" s="12" t="inlineStr">
        <is>
          <t>R3.61</t>
        </is>
      </c>
      <c r="B277" s="13" t="n">
        <v>46254</v>
      </c>
      <c r="C277" s="12" t="inlineStr">
        <is>
          <t>sensitive</t>
        </is>
      </c>
      <c r="D277" s="12" t="inlineStr">
        <is>
          <t>gate[g_emb_tags_doc_100k.25] -&gt; tagger[rank_only]</t>
        </is>
      </c>
      <c r="E277" s="12" t="inlineStr">
        <is>
          <t>datax_eval</t>
        </is>
      </c>
      <c r="F277" s="14" t="inlineStr">
        <is>
          <t>T1</t>
        </is>
      </c>
      <c r="G277" s="15" t="n">
        <v>20000</v>
      </c>
      <c r="H277" s="16" t="n">
        <v>0.7835990888382688</v>
      </c>
      <c r="I277" s="16" t="n">
        <v>0.7729688686408505</v>
      </c>
      <c r="J277" s="16" t="n">
        <v>0.7091875474563402</v>
      </c>
      <c r="K277" s="17">
        <f>IF(OR(L277="",L277=0),"",1000/L277)</f>
        <v/>
      </c>
      <c r="L277" s="18" t="n">
        <v>1.852</v>
      </c>
      <c r="M277" s="14" t="inlineStr">
        <is>
          <t>sensitive-pii-m2v-mixed-v2 [s4_c_all]</t>
        </is>
      </c>
      <c r="N277" s="19">
        <f>IFERROR(IF(P277&lt;&gt;"",IF(INDEX($P$2:$P$417,MATCH($M277,$A$2:$A$417,0))="","",P277-INDEX($P$2:$P$417,MATCH($M277,$A$2:$A$417,0))),IF(H277&lt;&gt;"",IF(INDEX($H$2:$H$417,MATCH($M277,$A$2:$A$417,0))="","",H277-INDEX($H$2:$H$417,MATCH($M277,$A$2:$A$417,0))),IF(O277&lt;&gt;"",IF(INDEX($O$2:$O$417,MATCH($M277,$A$2:$A$417,0))="","",O277-INDEX($O$2:$O$417,MATCH($M277,$A$2:$A$417,0))),IF(Q277&lt;&gt;"",IF(INDEX($Q$2:$Q$417,MATCH($M277,$A$2:$A$417,0))="","",Q277-INDEX($Q$2:$Q$417,MATCH($M277,$A$2:$A$417,0))),"")))),"")</f>
        <v/>
      </c>
      <c r="O277" s="16" t="n"/>
      <c r="P277" s="16" t="n"/>
      <c r="Q277" s="16" t="n"/>
      <c r="R277" s="16" t="n"/>
      <c r="S277" s="16" t="n"/>
      <c r="T277" s="16" t="n"/>
      <c r="U277" s="16" t="n"/>
      <c r="V277" s="16" t="n"/>
      <c r="W277" s="16" t="n"/>
      <c r="X277" s="16" t="n"/>
      <c r="Y277" s="20" t="n"/>
      <c r="Z277" s="20" t="n"/>
      <c r="AA277" s="16" t="n"/>
      <c r="AB277" s="21" t="inlineStr">
        <is>
          <t>two-stage: binary gate g_emb_tags_doc_100k.25 at 0.6 in front of the tagger at rank_only</t>
        </is>
      </c>
      <c r="AC277" s="21" t="inlineStr">
        <is>
          <t>shipped as sensitive-pii-m2v-gated-v3, registered @champion v2</t>
        </is>
      </c>
    </row>
    <row r="278" ht="28" customHeight="1">
      <c r="A278" s="2" t="inlineStr">
        <is>
          <t>R3.62</t>
        </is>
      </c>
      <c r="B278" s="3" t="n">
        <v>46254</v>
      </c>
      <c r="C278" s="2" t="inlineStr">
        <is>
          <t>sensitive</t>
        </is>
      </c>
      <c r="D278" s="2" t="inlineStr">
        <is>
          <t>gate[g_emb_tags_doc_100k.25] -&gt; tagger[rank_only]</t>
        </is>
      </c>
      <c r="E278" s="2" t="inlineStr">
        <is>
          <t>govdocs2_eval20</t>
        </is>
      </c>
      <c r="F278" s="4" t="inlineStr">
        <is>
          <t>T1</t>
        </is>
      </c>
      <c r="G278" s="5" t="n">
        <v>20000</v>
      </c>
      <c r="H278" s="6" t="n">
        <v>0.5778443113772455</v>
      </c>
      <c r="I278" s="6" t="n">
        <v>0.5748502994011976</v>
      </c>
      <c r="J278" s="6" t="n">
        <v>0.5419161676646707</v>
      </c>
      <c r="K278" s="7">
        <f>IF(OR(L278="",L278=0),"",1000/L278)</f>
        <v/>
      </c>
      <c r="L278" s="8" t="n">
        <v>1.852</v>
      </c>
      <c r="M278" s="4" t="inlineStr">
        <is>
          <t>sensitive-pii-m2v-mixed-v2 [s4_c_all]</t>
        </is>
      </c>
      <c r="N278" s="9">
        <f>IFERROR(IF(P278&lt;&gt;"",IF(INDEX($P$2:$P$417,MATCH($M278,$A$2:$A$417,0))="","",P278-INDEX($P$2:$P$417,MATCH($M278,$A$2:$A$417,0))),IF(H278&lt;&gt;"",IF(INDEX($H$2:$H$417,MATCH($M278,$A$2:$A$417,0))="","",H278-INDEX($H$2:$H$417,MATCH($M278,$A$2:$A$417,0))),IF(O278&lt;&gt;"",IF(INDEX($O$2:$O$417,MATCH($M278,$A$2:$A$417,0))="","",O278-INDEX($O$2:$O$417,MATCH($M278,$A$2:$A$417,0))),IF(Q278&lt;&gt;"",IF(INDEX($Q$2:$Q$417,MATCH($M278,$A$2:$A$417,0))="","",Q278-INDEX($Q$2:$Q$417,MATCH($M278,$A$2:$A$417,0))),"")))),"")</f>
        <v/>
      </c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10" t="n"/>
      <c r="Z278" s="10" t="n"/>
      <c r="AA278" s="6" t="n"/>
      <c r="AB278" s="11" t="inlineStr">
        <is>
          <t>two-stage: binary gate g_emb_tags_doc_100k.25 at 0.6 in front of the tagger at rank_only</t>
        </is>
      </c>
      <c r="AC278" s="11" t="inlineStr">
        <is>
          <t>shipped as sensitive-pii-m2v-gated-v3, registered @champion v2</t>
        </is>
      </c>
    </row>
    <row r="279" ht="28" customHeight="1">
      <c r="A279" s="12" t="inlineStr">
        <is>
          <t>R3.63</t>
        </is>
      </c>
      <c r="B279" s="13" t="n">
        <v>46254</v>
      </c>
      <c r="C279" s="12" t="inlineStr">
        <is>
          <t>sensitive</t>
        </is>
      </c>
      <c r="D279" s="12" t="inlineStr">
        <is>
          <t>gate[g_emb_tags_doc_100k.25] -&gt; tagger[rank_only]</t>
        </is>
      </c>
      <c r="E279" s="12" t="inlineStr">
        <is>
          <t>holdout20k</t>
        </is>
      </c>
      <c r="F279" s="14" t="inlineStr">
        <is>
          <t>T1</t>
        </is>
      </c>
      <c r="G279" s="15" t="n">
        <v>20000</v>
      </c>
      <c r="H279" s="16" t="n">
        <v>0.9777210667347199</v>
      </c>
      <c r="I279" s="16" t="n">
        <v>0.975730509123389</v>
      </c>
      <c r="J279" s="16" t="n">
        <v>0.9600612479265025</v>
      </c>
      <c r="K279" s="17">
        <f>IF(OR(L279="",L279=0),"",1000/L279)</f>
        <v/>
      </c>
      <c r="L279" s="18" t="n">
        <v>1.852</v>
      </c>
      <c r="M279" s="14" t="inlineStr">
        <is>
          <t>sensitive-pii-m2v-mixed-v2 [s4_c_all]</t>
        </is>
      </c>
      <c r="N279" s="19">
        <f>IFERROR(IF(P279&lt;&gt;"",IF(INDEX($P$2:$P$417,MATCH($M279,$A$2:$A$417,0))="","",P279-INDEX($P$2:$P$417,MATCH($M279,$A$2:$A$417,0))),IF(H279&lt;&gt;"",IF(INDEX($H$2:$H$417,MATCH($M279,$A$2:$A$417,0))="","",H279-INDEX($H$2:$H$417,MATCH($M279,$A$2:$A$417,0))),IF(O279&lt;&gt;"",IF(INDEX($O$2:$O$417,MATCH($M279,$A$2:$A$417,0))="","",O279-INDEX($O$2:$O$417,MATCH($M279,$A$2:$A$417,0))),IF(Q279&lt;&gt;"",IF(INDEX($Q$2:$Q$417,MATCH($M279,$A$2:$A$417,0))="","",Q279-INDEX($Q$2:$Q$417,MATCH($M279,$A$2:$A$417,0))),"")))),"")</f>
        <v/>
      </c>
      <c r="O279" s="16" t="n"/>
      <c r="P279" s="16" t="n"/>
      <c r="Q279" s="16" t="n"/>
      <c r="R279" s="16" t="n"/>
      <c r="S279" s="16" t="n"/>
      <c r="T279" s="16" t="n"/>
      <c r="U279" s="16" t="n"/>
      <c r="V279" s="16" t="n"/>
      <c r="W279" s="16" t="n"/>
      <c r="X279" s="16" t="n"/>
      <c r="Y279" s="20" t="n"/>
      <c r="Z279" s="20" t="n"/>
      <c r="AA279" s="16" t="n"/>
      <c r="AB279" s="21" t="inlineStr">
        <is>
          <t>two-stage: binary gate g_emb_tags_doc_100k.25 at 0.6 in front of the tagger at rank_only</t>
        </is>
      </c>
      <c r="AC279" s="21" t="inlineStr">
        <is>
          <t>shipped as sensitive-pii-m2v-gated-v3, registered @champion v2</t>
        </is>
      </c>
    </row>
    <row r="280" ht="28" customHeight="1">
      <c r="A280" s="2" t="inlineStr">
        <is>
          <t>R3.64</t>
        </is>
      </c>
      <c r="B280" s="3" t="n">
        <v>46254</v>
      </c>
      <c r="C280" s="2" t="inlineStr">
        <is>
          <t>sensitive</t>
        </is>
      </c>
      <c r="D280" s="2" t="inlineStr">
        <is>
          <t>gate[g_emb_tags_doc_100k1] -&gt; tagger[global0.65]</t>
        </is>
      </c>
      <c r="E280" s="2" t="inlineStr">
        <is>
          <t>datax_eval</t>
        </is>
      </c>
      <c r="F280" s="4" t="inlineStr">
        <is>
          <t>T1</t>
        </is>
      </c>
      <c r="G280" s="5" t="n">
        <v>20000</v>
      </c>
      <c r="H280" s="6" t="n">
        <v>0.7593167701863355</v>
      </c>
      <c r="I280" s="6" t="n">
        <v>0.7577639751552796</v>
      </c>
      <c r="J280" s="6" t="n">
        <v>0.7034161490683231</v>
      </c>
      <c r="K280" s="7" t="n"/>
      <c r="L280" s="8" t="n"/>
      <c r="M280" s="4" t="inlineStr">
        <is>
          <t>sensitive-pii-m2v-mixed-v2 [s4_c_all]</t>
        </is>
      </c>
      <c r="N280" s="9">
        <f>IFERROR(IF(P280&lt;&gt;"",IF(INDEX($P$2:$P$417,MATCH($M280,$A$2:$A$417,0))="","",P280-INDEX($P$2:$P$417,MATCH($M280,$A$2:$A$417,0))),IF(H280&lt;&gt;"",IF(INDEX($H$2:$H$417,MATCH($M280,$A$2:$A$417,0))="","",H280-INDEX($H$2:$H$417,MATCH($M280,$A$2:$A$417,0))),IF(O280&lt;&gt;"",IF(INDEX($O$2:$O$417,MATCH($M280,$A$2:$A$417,0))="","",O280-INDEX($O$2:$O$417,MATCH($M280,$A$2:$A$417,0))),IF(Q280&lt;&gt;"",IF(INDEX($Q$2:$Q$417,MATCH($M280,$A$2:$A$417,0))="","",Q280-INDEX($Q$2:$Q$417,MATCH($M280,$A$2:$A$417,0))),"")))),"")</f>
        <v/>
      </c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10" t="n"/>
      <c r="Z280" s="10" t="n"/>
      <c r="AA280" s="6" t="n"/>
      <c r="AB280" s="11" t="inlineStr">
        <is>
          <t>two-stage: binary gate g_emb_tags_doc_100k1 at 0.55 in front of the tagger at global0.65</t>
        </is>
      </c>
      <c r="AC280" s="11" t="n"/>
    </row>
    <row r="281" ht="28" customHeight="1">
      <c r="A281" s="12" t="inlineStr">
        <is>
          <t>R3.65</t>
        </is>
      </c>
      <c r="B281" s="13" t="n">
        <v>46254</v>
      </c>
      <c r="C281" s="12" t="inlineStr">
        <is>
          <t>sensitive</t>
        </is>
      </c>
      <c r="D281" s="12" t="inlineStr">
        <is>
          <t>gate[g_emb_tags_doc_100k1] -&gt; tagger[global0.65]</t>
        </is>
      </c>
      <c r="E281" s="12" t="inlineStr">
        <is>
          <t>govdocs2_eval20</t>
        </is>
      </c>
      <c r="F281" s="14" t="inlineStr">
        <is>
          <t>T1</t>
        </is>
      </c>
      <c r="G281" s="15" t="n">
        <v>20000</v>
      </c>
      <c r="H281" s="16" t="n">
        <v>0.5433186490455212</v>
      </c>
      <c r="I281" s="16" t="n">
        <v>0.5433186490455212</v>
      </c>
      <c r="J281" s="16" t="n">
        <v>0.5286343612334802</v>
      </c>
      <c r="K281" s="17" t="n"/>
      <c r="L281" s="18" t="n"/>
      <c r="M281" s="14" t="inlineStr">
        <is>
          <t>sensitive-pii-m2v-mixed-v2 [s4_c_all]</t>
        </is>
      </c>
      <c r="N281" s="19">
        <f>IFERROR(IF(P281&lt;&gt;"",IF(INDEX($P$2:$P$417,MATCH($M281,$A$2:$A$417,0))="","",P281-INDEX($P$2:$P$417,MATCH($M281,$A$2:$A$417,0))),IF(H281&lt;&gt;"",IF(INDEX($H$2:$H$417,MATCH($M281,$A$2:$A$417,0))="","",H281-INDEX($H$2:$H$417,MATCH($M281,$A$2:$A$417,0))),IF(O281&lt;&gt;"",IF(INDEX($O$2:$O$417,MATCH($M281,$A$2:$A$417,0))="","",O281-INDEX($O$2:$O$417,MATCH($M281,$A$2:$A$417,0))),IF(Q281&lt;&gt;"",IF(INDEX($Q$2:$Q$417,MATCH($M281,$A$2:$A$417,0))="","",Q281-INDEX($Q$2:$Q$417,MATCH($M281,$A$2:$A$417,0))),"")))),"")</f>
        <v/>
      </c>
      <c r="O281" s="16" t="n"/>
      <c r="P281" s="16" t="n"/>
      <c r="Q281" s="16" t="n"/>
      <c r="R281" s="16" t="n"/>
      <c r="S281" s="16" t="n"/>
      <c r="T281" s="16" t="n"/>
      <c r="U281" s="16" t="n"/>
      <c r="V281" s="16" t="n"/>
      <c r="W281" s="16" t="n"/>
      <c r="X281" s="16" t="n"/>
      <c r="Y281" s="20" t="n"/>
      <c r="Z281" s="20" t="n"/>
      <c r="AA281" s="16" t="n"/>
      <c r="AB281" s="21" t="inlineStr">
        <is>
          <t>two-stage: binary gate g_emb_tags_doc_100k1 at 0.55 in front of the tagger at global0.65</t>
        </is>
      </c>
      <c r="AC281" s="21" t="n"/>
    </row>
    <row r="282" ht="28" customHeight="1">
      <c r="A282" s="2" t="inlineStr">
        <is>
          <t>R3.66</t>
        </is>
      </c>
      <c r="B282" s="3" t="n">
        <v>46254</v>
      </c>
      <c r="C282" s="2" t="inlineStr">
        <is>
          <t>sensitive</t>
        </is>
      </c>
      <c r="D282" s="2" t="inlineStr">
        <is>
          <t>gate[g_emb_tags_doc_100k1] -&gt; tagger[global0.65]</t>
        </is>
      </c>
      <c r="E282" s="2" t="inlineStr">
        <is>
          <t>holdout20k</t>
        </is>
      </c>
      <c r="F282" s="4" t="inlineStr">
        <is>
          <t>T1</t>
        </is>
      </c>
      <c r="G282" s="5" t="n">
        <v>20000</v>
      </c>
      <c r="H282" s="6" t="n">
        <v>0.9696426284104011</v>
      </c>
      <c r="I282" s="6" t="n">
        <v>0.9693864480594337</v>
      </c>
      <c r="J282" s="6" t="n">
        <v>0.9602151914948124</v>
      </c>
      <c r="K282" s="7" t="n"/>
      <c r="L282" s="8" t="n"/>
      <c r="M282" s="4" t="inlineStr">
        <is>
          <t>sensitive-pii-m2v-mixed-v2 [s4_c_all]</t>
        </is>
      </c>
      <c r="N282" s="9">
        <f>IFERROR(IF(P282&lt;&gt;"",IF(INDEX($P$2:$P$417,MATCH($M282,$A$2:$A$417,0))="","",P282-INDEX($P$2:$P$417,MATCH($M282,$A$2:$A$417,0))),IF(H282&lt;&gt;"",IF(INDEX($H$2:$H$417,MATCH($M282,$A$2:$A$417,0))="","",H282-INDEX($H$2:$H$417,MATCH($M282,$A$2:$A$417,0))),IF(O282&lt;&gt;"",IF(INDEX($O$2:$O$417,MATCH($M282,$A$2:$A$417,0))="","",O282-INDEX($O$2:$O$417,MATCH($M282,$A$2:$A$417,0))),IF(Q282&lt;&gt;"",IF(INDEX($Q$2:$Q$417,MATCH($M282,$A$2:$A$417,0))="","",Q282-INDEX($Q$2:$Q$417,MATCH($M282,$A$2:$A$417,0))),"")))),"")</f>
        <v/>
      </c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10" t="n"/>
      <c r="Z282" s="10" t="n"/>
      <c r="AA282" s="6" t="n"/>
      <c r="AB282" s="11" t="inlineStr">
        <is>
          <t>two-stage: binary gate g_emb_tags_doc_100k1 at 0.55 in front of the tagger at global0.65</t>
        </is>
      </c>
      <c r="AC282" s="11" t="n"/>
    </row>
    <row r="283" ht="28" customHeight="1">
      <c r="A283" s="12" t="inlineStr">
        <is>
          <t>R3.67</t>
        </is>
      </c>
      <c r="B283" s="13" t="n">
        <v>46254</v>
      </c>
      <c r="C283" s="12" t="inlineStr">
        <is>
          <t>sensitive</t>
        </is>
      </c>
      <c r="D283" s="12" t="inlineStr">
        <is>
          <t>gate[g_emb_tags_doc_100k1] -&gt; tagger[pertag]</t>
        </is>
      </c>
      <c r="E283" s="12" t="inlineStr">
        <is>
          <t>datax_eval</t>
        </is>
      </c>
      <c r="F283" s="14" t="inlineStr">
        <is>
          <t>T1</t>
        </is>
      </c>
      <c r="G283" s="15" t="n">
        <v>20000</v>
      </c>
      <c r="H283" s="16" t="n">
        <v>0.7359238699444886</v>
      </c>
      <c r="I283" s="16" t="n">
        <v>0.7311657414750199</v>
      </c>
      <c r="J283" s="16" t="n">
        <v>0.6851704996034893</v>
      </c>
      <c r="K283" s="17" t="n"/>
      <c r="L283" s="18" t="n"/>
      <c r="M283" s="14" t="inlineStr">
        <is>
          <t>sensitive-pii-m2v-mixed-v2 [s4_c_all]</t>
        </is>
      </c>
      <c r="N283" s="19">
        <f>IFERROR(IF(P283&lt;&gt;"",IF(INDEX($P$2:$P$417,MATCH($M283,$A$2:$A$417,0))="","",P283-INDEX($P$2:$P$417,MATCH($M283,$A$2:$A$417,0))),IF(H283&lt;&gt;"",IF(INDEX($H$2:$H$417,MATCH($M283,$A$2:$A$417,0))="","",H283-INDEX($H$2:$H$417,MATCH($M283,$A$2:$A$417,0))),IF(O283&lt;&gt;"",IF(INDEX($O$2:$O$417,MATCH($M283,$A$2:$A$417,0))="","",O283-INDEX($O$2:$O$417,MATCH($M283,$A$2:$A$417,0))),IF(Q283&lt;&gt;"",IF(INDEX($Q$2:$Q$417,MATCH($M283,$A$2:$A$417,0))="","",Q283-INDEX($Q$2:$Q$417,MATCH($M283,$A$2:$A$417,0))),"")))),"")</f>
        <v/>
      </c>
      <c r="O283" s="16" t="n"/>
      <c r="P283" s="16" t="n"/>
      <c r="Q283" s="16" t="n"/>
      <c r="R283" s="16" t="n"/>
      <c r="S283" s="16" t="n"/>
      <c r="T283" s="16" t="n"/>
      <c r="U283" s="16" t="n"/>
      <c r="V283" s="16" t="n"/>
      <c r="W283" s="16" t="n"/>
      <c r="X283" s="16" t="n"/>
      <c r="Y283" s="20" t="n"/>
      <c r="Z283" s="20" t="n"/>
      <c r="AA283" s="16" t="n"/>
      <c r="AB283" s="21" t="inlineStr">
        <is>
          <t>two-stage: binary gate g_emb_tags_doc_100k1 at 0.55 in front of the tagger at pertag</t>
        </is>
      </c>
      <c r="AC283" s="21" t="n"/>
    </row>
    <row r="284" ht="28" customHeight="1">
      <c r="A284" s="2" t="inlineStr">
        <is>
          <t>R3.68</t>
        </is>
      </c>
      <c r="B284" s="3" t="n">
        <v>46254</v>
      </c>
      <c r="C284" s="2" t="inlineStr">
        <is>
          <t>sensitive</t>
        </is>
      </c>
      <c r="D284" s="2" t="inlineStr">
        <is>
          <t>gate[g_emb_tags_doc_100k1] -&gt; tagger[pertag]</t>
        </is>
      </c>
      <c r="E284" s="2" t="inlineStr">
        <is>
          <t>govdocs2_eval20</t>
        </is>
      </c>
      <c r="F284" s="4" t="inlineStr">
        <is>
          <t>T1</t>
        </is>
      </c>
      <c r="G284" s="5" t="n">
        <v>20000</v>
      </c>
      <c r="H284" s="6" t="n">
        <v>0.5390749601275918</v>
      </c>
      <c r="I284" s="6" t="n">
        <v>0.529505582137161</v>
      </c>
      <c r="J284" s="6" t="n">
        <v>0.4976076555023924</v>
      </c>
      <c r="K284" s="7" t="n"/>
      <c r="L284" s="8" t="n"/>
      <c r="M284" s="4" t="inlineStr">
        <is>
          <t>sensitive-pii-m2v-mixed-v2 [s4_c_all]</t>
        </is>
      </c>
      <c r="N284" s="9">
        <f>IFERROR(IF(P284&lt;&gt;"",IF(INDEX($P$2:$P$417,MATCH($M284,$A$2:$A$417,0))="","",P284-INDEX($P$2:$P$417,MATCH($M284,$A$2:$A$417,0))),IF(H284&lt;&gt;"",IF(INDEX($H$2:$H$417,MATCH($M284,$A$2:$A$417,0))="","",H284-INDEX($H$2:$H$417,MATCH($M284,$A$2:$A$417,0))),IF(O284&lt;&gt;"",IF(INDEX($O$2:$O$417,MATCH($M284,$A$2:$A$417,0))="","",O284-INDEX($O$2:$O$417,MATCH($M284,$A$2:$A$417,0))),IF(Q284&lt;&gt;"",IF(INDEX($Q$2:$Q$417,MATCH($M284,$A$2:$A$417,0))="","",Q284-INDEX($Q$2:$Q$417,MATCH($M284,$A$2:$A$417,0))),"")))),"")</f>
        <v/>
      </c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10" t="n"/>
      <c r="Z284" s="10" t="n"/>
      <c r="AA284" s="6" t="n"/>
      <c r="AB284" s="11" t="inlineStr">
        <is>
          <t>two-stage: binary gate g_emb_tags_doc_100k1 at 0.55 in front of the tagger at pertag</t>
        </is>
      </c>
      <c r="AC284" s="11" t="n"/>
    </row>
    <row r="285" ht="28" customHeight="1">
      <c r="A285" s="12" t="inlineStr">
        <is>
          <t>R3.69</t>
        </is>
      </c>
      <c r="B285" s="13" t="n">
        <v>46254</v>
      </c>
      <c r="C285" s="12" t="inlineStr">
        <is>
          <t>sensitive</t>
        </is>
      </c>
      <c r="D285" s="12" t="inlineStr">
        <is>
          <t>gate[g_emb_tags_doc_100k1] -&gt; tagger[pertag]</t>
        </is>
      </c>
      <c r="E285" s="12" t="inlineStr">
        <is>
          <t>holdout20k</t>
        </is>
      </c>
      <c r="F285" s="14" t="inlineStr">
        <is>
          <t>T1</t>
        </is>
      </c>
      <c r="G285" s="15" t="n">
        <v>20000</v>
      </c>
      <c r="H285" s="16" t="n">
        <v>0.9637377605304412</v>
      </c>
      <c r="I285" s="16" t="n">
        <v>0.9627097735858755</v>
      </c>
      <c r="J285" s="16" t="n">
        <v>0.9510935211122818</v>
      </c>
      <c r="K285" s="17" t="n"/>
      <c r="L285" s="18" t="n"/>
      <c r="M285" s="14" t="inlineStr">
        <is>
          <t>sensitive-pii-m2v-mixed-v2 [s4_c_all]</t>
        </is>
      </c>
      <c r="N285" s="19">
        <f>IFERROR(IF(P285&lt;&gt;"",IF(INDEX($P$2:$P$417,MATCH($M285,$A$2:$A$417,0))="","",P285-INDEX($P$2:$P$417,MATCH($M285,$A$2:$A$417,0))),IF(H285&lt;&gt;"",IF(INDEX($H$2:$H$417,MATCH($M285,$A$2:$A$417,0))="","",H285-INDEX($H$2:$H$417,MATCH($M285,$A$2:$A$417,0))),IF(O285&lt;&gt;"",IF(INDEX($O$2:$O$417,MATCH($M285,$A$2:$A$417,0))="","",O285-INDEX($O$2:$O$417,MATCH($M285,$A$2:$A$417,0))),IF(Q285&lt;&gt;"",IF(INDEX($Q$2:$Q$417,MATCH($M285,$A$2:$A$417,0))="","",Q285-INDEX($Q$2:$Q$417,MATCH($M285,$A$2:$A$417,0))),"")))),"")</f>
        <v/>
      </c>
      <c r="O285" s="16" t="n"/>
      <c r="P285" s="16" t="n"/>
      <c r="Q285" s="16" t="n"/>
      <c r="R285" s="16" t="n"/>
      <c r="S285" s="16" t="n"/>
      <c r="T285" s="16" t="n"/>
      <c r="U285" s="16" t="n"/>
      <c r="V285" s="16" t="n"/>
      <c r="W285" s="16" t="n"/>
      <c r="X285" s="16" t="n"/>
      <c r="Y285" s="20" t="n"/>
      <c r="Z285" s="20" t="n"/>
      <c r="AA285" s="16" t="n"/>
      <c r="AB285" s="21" t="inlineStr">
        <is>
          <t>two-stage: binary gate g_emb_tags_doc_100k1 at 0.55 in front of the tagger at pertag</t>
        </is>
      </c>
      <c r="AC285" s="21" t="n"/>
    </row>
    <row r="286" ht="28" customHeight="1">
      <c r="A286" s="2" t="inlineStr">
        <is>
          <t>R3.70</t>
        </is>
      </c>
      <c r="B286" s="3" t="n">
        <v>46254</v>
      </c>
      <c r="C286" s="2" t="inlineStr">
        <is>
          <t>sensitive</t>
        </is>
      </c>
      <c r="D286" s="2" t="inlineStr">
        <is>
          <t>gate[g_emb_tags_doc_100k1] -&gt; tagger[rank_only]</t>
        </is>
      </c>
      <c r="E286" s="2" t="inlineStr">
        <is>
          <t>datax_eval</t>
        </is>
      </c>
      <c r="F286" s="4" t="inlineStr">
        <is>
          <t>T1</t>
        </is>
      </c>
      <c r="G286" s="5" t="n">
        <v>20000</v>
      </c>
      <c r="H286" s="6" t="n">
        <v>0.7897125567322237</v>
      </c>
      <c r="I286" s="6" t="n">
        <v>0.7776096822995461</v>
      </c>
      <c r="J286" s="6" t="n">
        <v>0.7095310136157337</v>
      </c>
      <c r="K286" s="7" t="n"/>
      <c r="L286" s="8" t="n"/>
      <c r="M286" s="4" t="inlineStr">
        <is>
          <t>sensitive-pii-m2v-mixed-v2 [s4_c_all]</t>
        </is>
      </c>
      <c r="N286" s="9">
        <f>IFERROR(IF(P286&lt;&gt;"",IF(INDEX($P$2:$P$417,MATCH($M286,$A$2:$A$417,0))="","",P286-INDEX($P$2:$P$417,MATCH($M286,$A$2:$A$417,0))),IF(H286&lt;&gt;"",IF(INDEX($H$2:$H$417,MATCH($M286,$A$2:$A$417,0))="","",H286-INDEX($H$2:$H$417,MATCH($M286,$A$2:$A$417,0))),IF(O286&lt;&gt;"",IF(INDEX($O$2:$O$417,MATCH($M286,$A$2:$A$417,0))="","",O286-INDEX($O$2:$O$417,MATCH($M286,$A$2:$A$417,0))),IF(Q286&lt;&gt;"",IF(INDEX($Q$2:$Q$417,MATCH($M286,$A$2:$A$417,0))="","",Q286-INDEX($Q$2:$Q$417,MATCH($M286,$A$2:$A$417,0))),"")))),"")</f>
        <v/>
      </c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10" t="n"/>
      <c r="Z286" s="10" t="n"/>
      <c r="AA286" s="6" t="n"/>
      <c r="AB286" s="11" t="inlineStr">
        <is>
          <t>two-stage: binary gate g_emb_tags_doc_100k1 at 0.55 in front of the tagger at rank_only</t>
        </is>
      </c>
      <c r="AC286" s="11" t="n"/>
    </row>
    <row r="287" ht="28" customHeight="1">
      <c r="A287" s="12" t="inlineStr">
        <is>
          <t>R3.71</t>
        </is>
      </c>
      <c r="B287" s="13" t="n">
        <v>46254</v>
      </c>
      <c r="C287" s="12" t="inlineStr">
        <is>
          <t>sensitive</t>
        </is>
      </c>
      <c r="D287" s="12" t="inlineStr">
        <is>
          <t>gate[g_emb_tags_doc_100k1] -&gt; tagger[rank_only]</t>
        </is>
      </c>
      <c r="E287" s="12" t="inlineStr">
        <is>
          <t>govdocs2_eval20</t>
        </is>
      </c>
      <c r="F287" s="14" t="inlineStr">
        <is>
          <t>T1</t>
        </is>
      </c>
      <c r="G287" s="15" t="n">
        <v>20000</v>
      </c>
      <c r="H287" s="16" t="n">
        <v>0.5628571428571429</v>
      </c>
      <c r="I287" s="16" t="n">
        <v>0.5600000000000001</v>
      </c>
      <c r="J287" s="16" t="n">
        <v>0.5228571428571428</v>
      </c>
      <c r="K287" s="17" t="n"/>
      <c r="L287" s="18" t="n"/>
      <c r="M287" s="14" t="inlineStr">
        <is>
          <t>sensitive-pii-m2v-mixed-v2 [s4_c_all]</t>
        </is>
      </c>
      <c r="N287" s="19">
        <f>IFERROR(IF(P287&lt;&gt;"",IF(INDEX($P$2:$P$417,MATCH($M287,$A$2:$A$417,0))="","",P287-INDEX($P$2:$P$417,MATCH($M287,$A$2:$A$417,0))),IF(H287&lt;&gt;"",IF(INDEX($H$2:$H$417,MATCH($M287,$A$2:$A$417,0))="","",H287-INDEX($H$2:$H$417,MATCH($M287,$A$2:$A$417,0))),IF(O287&lt;&gt;"",IF(INDEX($O$2:$O$417,MATCH($M287,$A$2:$A$417,0))="","",O287-INDEX($O$2:$O$417,MATCH($M287,$A$2:$A$417,0))),IF(Q287&lt;&gt;"",IF(INDEX($Q$2:$Q$417,MATCH($M287,$A$2:$A$417,0))="","",Q287-INDEX($Q$2:$Q$417,MATCH($M287,$A$2:$A$417,0))),"")))),"")</f>
        <v/>
      </c>
      <c r="O287" s="16" t="n"/>
      <c r="P287" s="16" t="n"/>
      <c r="Q287" s="16" t="n"/>
      <c r="R287" s="16" t="n"/>
      <c r="S287" s="16" t="n"/>
      <c r="T287" s="16" t="n"/>
      <c r="U287" s="16" t="n"/>
      <c r="V287" s="16" t="n"/>
      <c r="W287" s="16" t="n"/>
      <c r="X287" s="16" t="n"/>
      <c r="Y287" s="20" t="n"/>
      <c r="Z287" s="20" t="n"/>
      <c r="AA287" s="16" t="n"/>
      <c r="AB287" s="21" t="inlineStr">
        <is>
          <t>two-stage: binary gate g_emb_tags_doc_100k1 at 0.55 in front of the tagger at rank_only</t>
        </is>
      </c>
      <c r="AC287" s="21" t="n"/>
    </row>
    <row r="288" ht="28" customHeight="1">
      <c r="A288" s="2" t="inlineStr">
        <is>
          <t>R3.72</t>
        </is>
      </c>
      <c r="B288" s="3" t="n">
        <v>46254</v>
      </c>
      <c r="C288" s="2" t="inlineStr">
        <is>
          <t>sensitive</t>
        </is>
      </c>
      <c r="D288" s="2" t="inlineStr">
        <is>
          <t>gate[g_emb_tags_doc_100k1] -&gt; tagger[rank_only]</t>
        </is>
      </c>
      <c r="E288" s="2" t="inlineStr">
        <is>
          <t>holdout20k</t>
        </is>
      </c>
      <c r="F288" s="4" t="inlineStr">
        <is>
          <t>T1</t>
        </is>
      </c>
      <c r="G288" s="5" t="n">
        <v>20000</v>
      </c>
      <c r="H288" s="6" t="n">
        <v>0.9808191299923683</v>
      </c>
      <c r="I288" s="6" t="n">
        <v>0.9787331467819893</v>
      </c>
      <c r="J288" s="6" t="n">
        <v>0.9626558127702874</v>
      </c>
      <c r="K288" s="7" t="n"/>
      <c r="L288" s="8" t="n"/>
      <c r="M288" s="4" t="inlineStr">
        <is>
          <t>sensitive-pii-m2v-mixed-v2 [s4_c_all]</t>
        </is>
      </c>
      <c r="N288" s="9">
        <f>IFERROR(IF(P288&lt;&gt;"",IF(INDEX($P$2:$P$417,MATCH($M288,$A$2:$A$417,0))="","",P288-INDEX($P$2:$P$417,MATCH($M288,$A$2:$A$417,0))),IF(H288&lt;&gt;"",IF(INDEX($H$2:$H$417,MATCH($M288,$A$2:$A$417,0))="","",H288-INDEX($H$2:$H$417,MATCH($M288,$A$2:$A$417,0))),IF(O288&lt;&gt;"",IF(INDEX($O$2:$O$417,MATCH($M288,$A$2:$A$417,0))="","",O288-INDEX($O$2:$O$417,MATCH($M288,$A$2:$A$417,0))),IF(Q288&lt;&gt;"",IF(INDEX($Q$2:$Q$417,MATCH($M288,$A$2:$A$417,0))="","",Q288-INDEX($Q$2:$Q$417,MATCH($M288,$A$2:$A$417,0))),"")))),"")</f>
        <v/>
      </c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10" t="n"/>
      <c r="Z288" s="10" t="n"/>
      <c r="AA288" s="6" t="n"/>
      <c r="AB288" s="11" t="inlineStr">
        <is>
          <t>two-stage: binary gate g_emb_tags_doc_100k1 at 0.55 in front of the tagger at rank_only</t>
        </is>
      </c>
      <c r="AC288" s="11" t="n"/>
    </row>
    <row r="289" ht="28" customHeight="1">
      <c r="A289" s="12" t="inlineStr">
        <is>
          <t>R3.73</t>
        </is>
      </c>
      <c r="B289" s="13" t="n">
        <v>46254</v>
      </c>
      <c r="C289" s="12" t="inlineStr">
        <is>
          <t>sensitive</t>
        </is>
      </c>
      <c r="D289" s="12" t="inlineStr">
        <is>
          <t>gate[g_tags_doc] -&gt; tagger[global0.65]</t>
        </is>
      </c>
      <c r="E289" s="12" t="inlineStr">
        <is>
          <t>datax_eval</t>
        </is>
      </c>
      <c r="F289" s="14" t="inlineStr">
        <is>
          <t>T1</t>
        </is>
      </c>
      <c r="G289" s="15" t="n">
        <v>20000</v>
      </c>
      <c r="H289" s="16" t="n">
        <v>0.7453416149068323</v>
      </c>
      <c r="I289" s="16" t="n">
        <v>0.7437888198757764</v>
      </c>
      <c r="J289" s="16" t="n">
        <v>0.6894409937888198</v>
      </c>
      <c r="K289" s="17" t="n"/>
      <c r="L289" s="18" t="n"/>
      <c r="M289" s="14" t="inlineStr">
        <is>
          <t>sensitive-pii-m2v-mixed-v2 [s4_c_all]</t>
        </is>
      </c>
      <c r="N289" s="19">
        <f>IFERROR(IF(P289&lt;&gt;"",IF(INDEX($P$2:$P$417,MATCH($M289,$A$2:$A$417,0))="","",P289-INDEX($P$2:$P$417,MATCH($M289,$A$2:$A$417,0))),IF(H289&lt;&gt;"",IF(INDEX($H$2:$H$417,MATCH($M289,$A$2:$A$417,0))="","",H289-INDEX($H$2:$H$417,MATCH($M289,$A$2:$A$417,0))),IF(O289&lt;&gt;"",IF(INDEX($O$2:$O$417,MATCH($M289,$A$2:$A$417,0))="","",O289-INDEX($O$2:$O$417,MATCH($M289,$A$2:$A$417,0))),IF(Q289&lt;&gt;"",IF(INDEX($Q$2:$Q$417,MATCH($M289,$A$2:$A$417,0))="","",Q289-INDEX($Q$2:$Q$417,MATCH($M289,$A$2:$A$417,0))),"")))),"")</f>
        <v/>
      </c>
      <c r="O289" s="16" t="n"/>
      <c r="P289" s="16" t="n"/>
      <c r="Q289" s="16" t="n"/>
      <c r="R289" s="16" t="n"/>
      <c r="S289" s="16" t="n"/>
      <c r="T289" s="16" t="n"/>
      <c r="U289" s="16" t="n"/>
      <c r="V289" s="16" t="n"/>
      <c r="W289" s="16" t="n"/>
      <c r="X289" s="16" t="n"/>
      <c r="Y289" s="20" t="n"/>
      <c r="Z289" s="20" t="n"/>
      <c r="AA289" s="16" t="n"/>
      <c r="AB289" s="21" t="inlineStr">
        <is>
          <t>two-stage: binary gate g_tags_doc at 0.6 in front of the tagger at global0.65</t>
        </is>
      </c>
      <c r="AC289" s="21" t="n"/>
    </row>
    <row r="290" ht="28" customHeight="1">
      <c r="A290" s="2" t="inlineStr">
        <is>
          <t>R3.74</t>
        </is>
      </c>
      <c r="B290" s="3" t="n">
        <v>46254</v>
      </c>
      <c r="C290" s="2" t="inlineStr">
        <is>
          <t>sensitive</t>
        </is>
      </c>
      <c r="D290" s="2" t="inlineStr">
        <is>
          <t>gate[g_tags_doc] -&gt; tagger[global0.65]</t>
        </is>
      </c>
      <c r="E290" s="2" t="inlineStr">
        <is>
          <t>govdocs2_eval20</t>
        </is>
      </c>
      <c r="F290" s="4" t="inlineStr">
        <is>
          <t>T1</t>
        </is>
      </c>
      <c r="G290" s="5" t="n">
        <v>20000</v>
      </c>
      <c r="H290" s="6" t="n">
        <v>0.5480769230769231</v>
      </c>
      <c r="I290" s="6" t="n">
        <v>0.5480769230769231</v>
      </c>
      <c r="J290" s="6" t="n">
        <v>0.532051282051282</v>
      </c>
      <c r="K290" s="7" t="n"/>
      <c r="L290" s="8" t="n"/>
      <c r="M290" s="4" t="inlineStr">
        <is>
          <t>sensitive-pii-m2v-mixed-v2 [s4_c_all]</t>
        </is>
      </c>
      <c r="N290" s="9">
        <f>IFERROR(IF(P290&lt;&gt;"",IF(INDEX($P$2:$P$417,MATCH($M290,$A$2:$A$417,0))="","",P290-INDEX($P$2:$P$417,MATCH($M290,$A$2:$A$417,0))),IF(H290&lt;&gt;"",IF(INDEX($H$2:$H$417,MATCH($M290,$A$2:$A$417,0))="","",H290-INDEX($H$2:$H$417,MATCH($M290,$A$2:$A$417,0))),IF(O290&lt;&gt;"",IF(INDEX($O$2:$O$417,MATCH($M290,$A$2:$A$417,0))="","",O290-INDEX($O$2:$O$417,MATCH($M290,$A$2:$A$417,0))),IF(Q290&lt;&gt;"",IF(INDEX($Q$2:$Q$417,MATCH($M290,$A$2:$A$417,0))="","",Q290-INDEX($Q$2:$Q$417,MATCH($M290,$A$2:$A$417,0))),"")))),"")</f>
        <v/>
      </c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10" t="n"/>
      <c r="Z290" s="10" t="n"/>
      <c r="AA290" s="6" t="n"/>
      <c r="AB290" s="11" t="inlineStr">
        <is>
          <t>two-stage: binary gate g_tags_doc at 0.6 in front of the tagger at global0.65</t>
        </is>
      </c>
      <c r="AC290" s="11" t="n"/>
    </row>
    <row r="291" ht="28" customHeight="1">
      <c r="A291" s="12" t="inlineStr">
        <is>
          <t>R3.75</t>
        </is>
      </c>
      <c r="B291" s="13" t="n">
        <v>46254</v>
      </c>
      <c r="C291" s="12" t="inlineStr">
        <is>
          <t>sensitive</t>
        </is>
      </c>
      <c r="D291" s="12" t="inlineStr">
        <is>
          <t>gate[g_tags_doc] -&gt; tagger[global0.65]</t>
        </is>
      </c>
      <c r="E291" s="12" t="inlineStr">
        <is>
          <t>holdout20k</t>
        </is>
      </c>
      <c r="F291" s="14" t="inlineStr">
        <is>
          <t>T1</t>
        </is>
      </c>
      <c r="G291" s="15" t="n">
        <v>20000</v>
      </c>
      <c r="H291" s="16" t="n">
        <v>0.3439943729570938</v>
      </c>
      <c r="I291" s="16" t="n">
        <v>0.3438288716951466</v>
      </c>
      <c r="J291" s="16" t="n">
        <v>0.3397740907774423</v>
      </c>
      <c r="K291" s="17" t="n"/>
      <c r="L291" s="18" t="n"/>
      <c r="M291" s="14" t="inlineStr">
        <is>
          <t>sensitive-pii-m2v-mixed-v2 [s4_c_all]</t>
        </is>
      </c>
      <c r="N291" s="19">
        <f>IFERROR(IF(P291&lt;&gt;"",IF(INDEX($P$2:$P$417,MATCH($M291,$A$2:$A$417,0))="","",P291-INDEX($P$2:$P$417,MATCH($M291,$A$2:$A$417,0))),IF(H291&lt;&gt;"",IF(INDEX($H$2:$H$417,MATCH($M291,$A$2:$A$417,0))="","",H291-INDEX($H$2:$H$417,MATCH($M291,$A$2:$A$417,0))),IF(O291&lt;&gt;"",IF(INDEX($O$2:$O$417,MATCH($M291,$A$2:$A$417,0))="","",O291-INDEX($O$2:$O$417,MATCH($M291,$A$2:$A$417,0))),IF(Q291&lt;&gt;"",IF(INDEX($Q$2:$Q$417,MATCH($M291,$A$2:$A$417,0))="","",Q291-INDEX($Q$2:$Q$417,MATCH($M291,$A$2:$A$417,0))),"")))),"")</f>
        <v/>
      </c>
      <c r="O291" s="16" t="n"/>
      <c r="P291" s="16" t="n"/>
      <c r="Q291" s="16" t="n"/>
      <c r="R291" s="16" t="n"/>
      <c r="S291" s="16" t="n"/>
      <c r="T291" s="16" t="n"/>
      <c r="U291" s="16" t="n"/>
      <c r="V291" s="16" t="n"/>
      <c r="W291" s="16" t="n"/>
      <c r="X291" s="16" t="n"/>
      <c r="Y291" s="20" t="n"/>
      <c r="Z291" s="20" t="n"/>
      <c r="AA291" s="16" t="n"/>
      <c r="AB291" s="21" t="inlineStr">
        <is>
          <t>two-stage: binary gate g_tags_doc at 0.6 in front of the tagger at global0.65</t>
        </is>
      </c>
      <c r="AC291" s="21" t="n"/>
    </row>
    <row r="292" ht="28" customHeight="1">
      <c r="A292" s="2" t="inlineStr">
        <is>
          <t>R3.76</t>
        </is>
      </c>
      <c r="B292" s="3" t="n">
        <v>46254</v>
      </c>
      <c r="C292" s="2" t="inlineStr">
        <is>
          <t>sensitive</t>
        </is>
      </c>
      <c r="D292" s="2" t="inlineStr">
        <is>
          <t>gate[g_tags_doc] -&gt; tagger[pertag]</t>
        </is>
      </c>
      <c r="E292" s="2" t="inlineStr">
        <is>
          <t>datax_eval</t>
        </is>
      </c>
      <c r="F292" s="4" t="inlineStr">
        <is>
          <t>T1</t>
        </is>
      </c>
      <c r="G292" s="5" t="n">
        <v>20000</v>
      </c>
      <c r="H292" s="6" t="n">
        <v>0.7251184834123222</v>
      </c>
      <c r="I292" s="6" t="n">
        <v>0.7203791469194313</v>
      </c>
      <c r="J292" s="6" t="n">
        <v>0.6777251184834123</v>
      </c>
      <c r="K292" s="7" t="n"/>
      <c r="L292" s="8" t="n"/>
      <c r="M292" s="4" t="inlineStr">
        <is>
          <t>sensitive-pii-m2v-mixed-v2 [s4_c_all]</t>
        </is>
      </c>
      <c r="N292" s="9">
        <f>IFERROR(IF(P292&lt;&gt;"",IF(INDEX($P$2:$P$417,MATCH($M292,$A$2:$A$417,0))="","",P292-INDEX($P$2:$P$417,MATCH($M292,$A$2:$A$417,0))),IF(H292&lt;&gt;"",IF(INDEX($H$2:$H$417,MATCH($M292,$A$2:$A$417,0))="","",H292-INDEX($H$2:$H$417,MATCH($M292,$A$2:$A$417,0))),IF(O292&lt;&gt;"",IF(INDEX($O$2:$O$417,MATCH($M292,$A$2:$A$417,0))="","",O292-INDEX($O$2:$O$417,MATCH($M292,$A$2:$A$417,0))),IF(Q292&lt;&gt;"",IF(INDEX($Q$2:$Q$417,MATCH($M292,$A$2:$A$417,0))="","",Q292-INDEX($Q$2:$Q$417,MATCH($M292,$A$2:$A$417,0))),"")))),"")</f>
        <v/>
      </c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10" t="n"/>
      <c r="Z292" s="10" t="n"/>
      <c r="AA292" s="6" t="n"/>
      <c r="AB292" s="11" t="inlineStr">
        <is>
          <t>two-stage: binary gate g_tags_doc at 0.6 in front of the tagger at pertag</t>
        </is>
      </c>
      <c r="AC292" s="11" t="n"/>
    </row>
    <row r="293" ht="28" customHeight="1">
      <c r="A293" s="12" t="inlineStr">
        <is>
          <t>R3.77</t>
        </is>
      </c>
      <c r="B293" s="13" t="n">
        <v>46254</v>
      </c>
      <c r="C293" s="12" t="inlineStr">
        <is>
          <t>sensitive</t>
        </is>
      </c>
      <c r="D293" s="12" t="inlineStr">
        <is>
          <t>gate[g_tags_doc] -&gt; tagger[pertag]</t>
        </is>
      </c>
      <c r="E293" s="12" t="inlineStr">
        <is>
          <t>govdocs2_eval20</t>
        </is>
      </c>
      <c r="F293" s="14" t="inlineStr">
        <is>
          <t>T1</t>
        </is>
      </c>
      <c r="G293" s="15" t="n">
        <v>20000</v>
      </c>
      <c r="H293" s="16" t="n">
        <v>0.5331125827814569</v>
      </c>
      <c r="I293" s="16" t="n">
        <v>0.52317880794702</v>
      </c>
      <c r="J293" s="16" t="n">
        <v>0.4933774834437086</v>
      </c>
      <c r="K293" s="17" t="n"/>
      <c r="L293" s="18" t="n"/>
      <c r="M293" s="14" t="inlineStr">
        <is>
          <t>sensitive-pii-m2v-mixed-v2 [s4_c_all]</t>
        </is>
      </c>
      <c r="N293" s="19">
        <f>IFERROR(IF(P293&lt;&gt;"",IF(INDEX($P$2:$P$417,MATCH($M293,$A$2:$A$417,0))="","",P293-INDEX($P$2:$P$417,MATCH($M293,$A$2:$A$417,0))),IF(H293&lt;&gt;"",IF(INDEX($H$2:$H$417,MATCH($M293,$A$2:$A$417,0))="","",H293-INDEX($H$2:$H$417,MATCH($M293,$A$2:$A$417,0))),IF(O293&lt;&gt;"",IF(INDEX($O$2:$O$417,MATCH($M293,$A$2:$A$417,0))="","",O293-INDEX($O$2:$O$417,MATCH($M293,$A$2:$A$417,0))),IF(Q293&lt;&gt;"",IF(INDEX($Q$2:$Q$417,MATCH($M293,$A$2:$A$417,0))="","",Q293-INDEX($Q$2:$Q$417,MATCH($M293,$A$2:$A$417,0))),"")))),"")</f>
        <v/>
      </c>
      <c r="O293" s="16" t="n"/>
      <c r="P293" s="16" t="n"/>
      <c r="Q293" s="16" t="n"/>
      <c r="R293" s="16" t="n"/>
      <c r="S293" s="16" t="n"/>
      <c r="T293" s="16" t="n"/>
      <c r="U293" s="16" t="n"/>
      <c r="V293" s="16" t="n"/>
      <c r="W293" s="16" t="n"/>
      <c r="X293" s="16" t="n"/>
      <c r="Y293" s="20" t="n"/>
      <c r="Z293" s="20" t="n"/>
      <c r="AA293" s="16" t="n"/>
      <c r="AB293" s="21" t="inlineStr">
        <is>
          <t>two-stage: binary gate g_tags_doc at 0.6 in front of the tagger at pertag</t>
        </is>
      </c>
      <c r="AC293" s="21" t="n"/>
    </row>
    <row r="294" ht="28" customHeight="1">
      <c r="A294" s="2" t="inlineStr">
        <is>
          <t>R3.78</t>
        </is>
      </c>
      <c r="B294" s="3" t="n">
        <v>46254</v>
      </c>
      <c r="C294" s="2" t="inlineStr">
        <is>
          <t>sensitive</t>
        </is>
      </c>
      <c r="D294" s="2" t="inlineStr">
        <is>
          <t>gate[g_tags_doc] -&gt; tagger[pertag]</t>
        </is>
      </c>
      <c r="E294" s="2" t="inlineStr">
        <is>
          <t>holdout20k</t>
        </is>
      </c>
      <c r="F294" s="4" t="inlineStr">
        <is>
          <t>T1</t>
        </is>
      </c>
      <c r="G294" s="5" t="n">
        <v>20000</v>
      </c>
      <c r="H294" s="6" t="n">
        <v>0.3383492932056544</v>
      </c>
      <c r="I294" s="6" t="n">
        <v>0.3372714836463126</v>
      </c>
      <c r="J294" s="6" t="n">
        <v>0.3315508021390374</v>
      </c>
      <c r="K294" s="7" t="n"/>
      <c r="L294" s="8" t="n"/>
      <c r="M294" s="4" t="inlineStr">
        <is>
          <t>sensitive-pii-m2v-mixed-v2 [s4_c_all]</t>
        </is>
      </c>
      <c r="N294" s="9">
        <f>IFERROR(IF(P294&lt;&gt;"",IF(INDEX($P$2:$P$417,MATCH($M294,$A$2:$A$417,0))="","",P294-INDEX($P$2:$P$417,MATCH($M294,$A$2:$A$417,0))),IF(H294&lt;&gt;"",IF(INDEX($H$2:$H$417,MATCH($M294,$A$2:$A$417,0))="","",H294-INDEX($H$2:$H$417,MATCH($M294,$A$2:$A$417,0))),IF(O294&lt;&gt;"",IF(INDEX($O$2:$O$417,MATCH($M294,$A$2:$A$417,0))="","",O294-INDEX($O$2:$O$417,MATCH($M294,$A$2:$A$417,0))),IF(Q294&lt;&gt;"",IF(INDEX($Q$2:$Q$417,MATCH($M294,$A$2:$A$417,0))="","",Q294-INDEX($Q$2:$Q$417,MATCH($M294,$A$2:$A$417,0))),"")))),"")</f>
        <v/>
      </c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10" t="n"/>
      <c r="Z294" s="10" t="n"/>
      <c r="AA294" s="6" t="n"/>
      <c r="AB294" s="11" t="inlineStr">
        <is>
          <t>two-stage: binary gate g_tags_doc at 0.6 in front of the tagger at pertag</t>
        </is>
      </c>
      <c r="AC294" s="11" t="n"/>
    </row>
    <row r="295" ht="28" customHeight="1">
      <c r="A295" s="12" t="inlineStr">
        <is>
          <t>R3.79</t>
        </is>
      </c>
      <c r="B295" s="13" t="n">
        <v>46254</v>
      </c>
      <c r="C295" s="12" t="inlineStr">
        <is>
          <t>sensitive</t>
        </is>
      </c>
      <c r="D295" s="12" t="inlineStr">
        <is>
          <t>gate[g_tags_doc] -&gt; tagger[rank_only]</t>
        </is>
      </c>
      <c r="E295" s="12" t="inlineStr">
        <is>
          <t>datax_eval</t>
        </is>
      </c>
      <c r="F295" s="14" t="inlineStr">
        <is>
          <t>T1</t>
        </is>
      </c>
      <c r="G295" s="15" t="n">
        <v>20000</v>
      </c>
      <c r="H295" s="16" t="n">
        <v>0.7712121212121211</v>
      </c>
      <c r="I295" s="16" t="n">
        <v>0.756060606060606</v>
      </c>
      <c r="J295" s="16" t="n">
        <v>0.6954545454545455</v>
      </c>
      <c r="K295" s="17" t="n"/>
      <c r="L295" s="18" t="n"/>
      <c r="M295" s="14" t="inlineStr">
        <is>
          <t>sensitive-pii-m2v-mixed-v2 [s4_c_all]</t>
        </is>
      </c>
      <c r="N295" s="19">
        <f>IFERROR(IF(P295&lt;&gt;"",IF(INDEX($P$2:$P$417,MATCH($M295,$A$2:$A$417,0))="","",P295-INDEX($P$2:$P$417,MATCH($M295,$A$2:$A$417,0))),IF(H295&lt;&gt;"",IF(INDEX($H$2:$H$417,MATCH($M295,$A$2:$A$417,0))="","",H295-INDEX($H$2:$H$417,MATCH($M295,$A$2:$A$417,0))),IF(O295&lt;&gt;"",IF(INDEX($O$2:$O$417,MATCH($M295,$A$2:$A$417,0))="","",O295-INDEX($O$2:$O$417,MATCH($M295,$A$2:$A$417,0))),IF(Q295&lt;&gt;"",IF(INDEX($Q$2:$Q$417,MATCH($M295,$A$2:$A$417,0))="","",Q295-INDEX($Q$2:$Q$417,MATCH($M295,$A$2:$A$417,0))),"")))),"")</f>
        <v/>
      </c>
      <c r="O295" s="16" t="n"/>
      <c r="P295" s="16" t="n"/>
      <c r="Q295" s="16" t="n"/>
      <c r="R295" s="16" t="n"/>
      <c r="S295" s="16" t="n"/>
      <c r="T295" s="16" t="n"/>
      <c r="U295" s="16" t="n"/>
      <c r="V295" s="16" t="n"/>
      <c r="W295" s="16" t="n"/>
      <c r="X295" s="16" t="n"/>
      <c r="Y295" s="20" t="n"/>
      <c r="Z295" s="20" t="n"/>
      <c r="AA295" s="16" t="n"/>
      <c r="AB295" s="21" t="inlineStr">
        <is>
          <t>two-stage: binary gate g_tags_doc at 0.55 in front of the tagger at rank_only</t>
        </is>
      </c>
      <c r="AC295" s="21" t="n"/>
    </row>
    <row r="296" ht="28" customHeight="1">
      <c r="A296" s="2" t="inlineStr">
        <is>
          <t>R3.80</t>
        </is>
      </c>
      <c r="B296" s="3" t="n">
        <v>46254</v>
      </c>
      <c r="C296" s="2" t="inlineStr">
        <is>
          <t>sensitive</t>
        </is>
      </c>
      <c r="D296" s="2" t="inlineStr">
        <is>
          <t>gate[g_tags_doc] -&gt; tagger[rank_only]</t>
        </is>
      </c>
      <c r="E296" s="2" t="inlineStr">
        <is>
          <t>govdocs2_eval20</t>
        </is>
      </c>
      <c r="F296" s="4" t="inlineStr">
        <is>
          <t>T1</t>
        </is>
      </c>
      <c r="G296" s="5" t="n">
        <v>20000</v>
      </c>
      <c r="H296" s="6" t="n">
        <v>0.556390977443609</v>
      </c>
      <c r="I296" s="6" t="n">
        <v>0.5503759398496241</v>
      </c>
      <c r="J296" s="6" t="n">
        <v>0.5203007518796993</v>
      </c>
      <c r="K296" s="7" t="n"/>
      <c r="L296" s="8" t="n"/>
      <c r="M296" s="4" t="inlineStr">
        <is>
          <t>sensitive-pii-m2v-mixed-v2 [s4_c_all]</t>
        </is>
      </c>
      <c r="N296" s="9">
        <f>IFERROR(IF(P296&lt;&gt;"",IF(INDEX($P$2:$P$417,MATCH($M296,$A$2:$A$417,0))="","",P296-INDEX($P$2:$P$417,MATCH($M296,$A$2:$A$417,0))),IF(H296&lt;&gt;"",IF(INDEX($H$2:$H$417,MATCH($M296,$A$2:$A$417,0))="","",H296-INDEX($H$2:$H$417,MATCH($M296,$A$2:$A$417,0))),IF(O296&lt;&gt;"",IF(INDEX($O$2:$O$417,MATCH($M296,$A$2:$A$417,0))="","",O296-INDEX($O$2:$O$417,MATCH($M296,$A$2:$A$417,0))),IF(Q296&lt;&gt;"",IF(INDEX($Q$2:$Q$417,MATCH($M296,$A$2:$A$417,0))="","",Q296-INDEX($Q$2:$Q$417,MATCH($M296,$A$2:$A$417,0))),"")))),"")</f>
        <v/>
      </c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10" t="n"/>
      <c r="Z296" s="10" t="n"/>
      <c r="AA296" s="6" t="n"/>
      <c r="AB296" s="11" t="inlineStr">
        <is>
          <t>two-stage: binary gate g_tags_doc at 0.55 in front of the tagger at rank_only</t>
        </is>
      </c>
      <c r="AC296" s="11" t="n"/>
    </row>
    <row r="297" ht="28" customHeight="1">
      <c r="A297" s="12" t="inlineStr">
        <is>
          <t>R3.81</t>
        </is>
      </c>
      <c r="B297" s="13" t="n">
        <v>46254</v>
      </c>
      <c r="C297" s="12" t="inlineStr">
        <is>
          <t>sensitive</t>
        </is>
      </c>
      <c r="D297" s="12" t="inlineStr">
        <is>
          <t>gate[g_tags_doc] -&gt; tagger[rank_only]</t>
        </is>
      </c>
      <c r="E297" s="12" t="inlineStr">
        <is>
          <t>holdout20k</t>
        </is>
      </c>
      <c r="F297" s="14" t="inlineStr">
        <is>
          <t>T1</t>
        </is>
      </c>
      <c r="G297" s="15" t="n">
        <v>20000</v>
      </c>
      <c r="H297" s="16" t="n">
        <v>0.3707595194461413</v>
      </c>
      <c r="I297" s="16" t="n">
        <v>0.3702708206068011</v>
      </c>
      <c r="J297" s="16" t="n">
        <v>0.3649765831806149</v>
      </c>
      <c r="K297" s="17" t="n"/>
      <c r="L297" s="18" t="n"/>
      <c r="M297" s="14" t="inlineStr">
        <is>
          <t>sensitive-pii-m2v-mixed-v2 [s4_c_all]</t>
        </is>
      </c>
      <c r="N297" s="19">
        <f>IFERROR(IF(P297&lt;&gt;"",IF(INDEX($P$2:$P$417,MATCH($M297,$A$2:$A$417,0))="","",P297-INDEX($P$2:$P$417,MATCH($M297,$A$2:$A$417,0))),IF(H297&lt;&gt;"",IF(INDEX($H$2:$H$417,MATCH($M297,$A$2:$A$417,0))="","",H297-INDEX($H$2:$H$417,MATCH($M297,$A$2:$A$417,0))),IF(O297&lt;&gt;"",IF(INDEX($O$2:$O$417,MATCH($M297,$A$2:$A$417,0))="","",O297-INDEX($O$2:$O$417,MATCH($M297,$A$2:$A$417,0))),IF(Q297&lt;&gt;"",IF(INDEX($Q$2:$Q$417,MATCH($M297,$A$2:$A$417,0))="","",Q297-INDEX($Q$2:$Q$417,MATCH($M297,$A$2:$A$417,0))),"")))),"")</f>
        <v/>
      </c>
      <c r="O297" s="16" t="n"/>
      <c r="P297" s="16" t="n"/>
      <c r="Q297" s="16" t="n"/>
      <c r="R297" s="16" t="n"/>
      <c r="S297" s="16" t="n"/>
      <c r="T297" s="16" t="n"/>
      <c r="U297" s="16" t="n"/>
      <c r="V297" s="16" t="n"/>
      <c r="W297" s="16" t="n"/>
      <c r="X297" s="16" t="n"/>
      <c r="Y297" s="20" t="n"/>
      <c r="Z297" s="20" t="n"/>
      <c r="AA297" s="16" t="n"/>
      <c r="AB297" s="21" t="inlineStr">
        <is>
          <t>two-stage: binary gate g_tags_doc at 0.55 in front of the tagger at rank_only</t>
        </is>
      </c>
      <c r="AC297" s="21" t="n"/>
    </row>
    <row r="298" ht="28" customHeight="1">
      <c r="A298" s="2" t="inlineStr">
        <is>
          <t>R3.82</t>
        </is>
      </c>
      <c r="B298" s="3" t="n">
        <v>46254</v>
      </c>
      <c r="C298" s="2" t="inlineStr">
        <is>
          <t>sensitive</t>
        </is>
      </c>
      <c r="D298" s="2" t="inlineStr">
        <is>
          <t>gate[g_tags_doc_100k.25] -&gt; tagger[global0.65]</t>
        </is>
      </c>
      <c r="E298" s="2" t="inlineStr">
        <is>
          <t>datax_eval</t>
        </is>
      </c>
      <c r="F298" s="4" t="inlineStr">
        <is>
          <t>T1</t>
        </is>
      </c>
      <c r="G298" s="5" t="n">
        <v>20000</v>
      </c>
      <c r="H298" s="6" t="n">
        <v>0.7467282525019245</v>
      </c>
      <c r="I298" s="6" t="n">
        <v>0.7436489607390301</v>
      </c>
      <c r="J298" s="6" t="n">
        <v>0.6913010007698229</v>
      </c>
      <c r="K298" s="7" t="n"/>
      <c r="L298" s="8" t="n"/>
      <c r="M298" s="4" t="inlineStr">
        <is>
          <t>sensitive-pii-m2v-mixed-v2 [s4_c_all]</t>
        </is>
      </c>
      <c r="N298" s="9">
        <f>IFERROR(IF(P298&lt;&gt;"",IF(INDEX($P$2:$P$417,MATCH($M298,$A$2:$A$417,0))="","",P298-INDEX($P$2:$P$417,MATCH($M298,$A$2:$A$417,0))),IF(H298&lt;&gt;"",IF(INDEX($H$2:$H$417,MATCH($M298,$A$2:$A$417,0))="","",H298-INDEX($H$2:$H$417,MATCH($M298,$A$2:$A$417,0))),IF(O298&lt;&gt;"",IF(INDEX($O$2:$O$417,MATCH($M298,$A$2:$A$417,0))="","",O298-INDEX($O$2:$O$417,MATCH($M298,$A$2:$A$417,0))),IF(Q298&lt;&gt;"",IF(INDEX($Q$2:$Q$417,MATCH($M298,$A$2:$A$417,0))="","",Q298-INDEX($Q$2:$Q$417,MATCH($M298,$A$2:$A$417,0))),"")))),"")</f>
        <v/>
      </c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10" t="n"/>
      <c r="Z298" s="10" t="n"/>
      <c r="AA298" s="6" t="n"/>
      <c r="AB298" s="11" t="inlineStr">
        <is>
          <t>two-stage: binary gate g_tags_doc_100k.25 at 0.6 in front of the tagger at global0.65</t>
        </is>
      </c>
      <c r="AC298" s="11" t="n"/>
    </row>
    <row r="299" ht="28" customHeight="1">
      <c r="A299" s="12" t="inlineStr">
        <is>
          <t>R3.83</t>
        </is>
      </c>
      <c r="B299" s="13" t="n">
        <v>46254</v>
      </c>
      <c r="C299" s="12" t="inlineStr">
        <is>
          <t>sensitive</t>
        </is>
      </c>
      <c r="D299" s="12" t="inlineStr">
        <is>
          <t>gate[g_tags_doc_100k.25] -&gt; tagger[global0.65]</t>
        </is>
      </c>
      <c r="E299" s="12" t="inlineStr">
        <is>
          <t>govdocs2_eval20</t>
        </is>
      </c>
      <c r="F299" s="14" t="inlineStr">
        <is>
          <t>T1</t>
        </is>
      </c>
      <c r="G299" s="15" t="n">
        <v>20000</v>
      </c>
      <c r="H299" s="16" t="n">
        <v>0.5368731563421828</v>
      </c>
      <c r="I299" s="16" t="n">
        <v>0.5368731563421828</v>
      </c>
      <c r="J299" s="16" t="n">
        <v>0.5162241887905605</v>
      </c>
      <c r="K299" s="17" t="n"/>
      <c r="L299" s="18" t="n"/>
      <c r="M299" s="14" t="inlineStr">
        <is>
          <t>sensitive-pii-m2v-mixed-v2 [s4_c_all]</t>
        </is>
      </c>
      <c r="N299" s="19">
        <f>IFERROR(IF(P299&lt;&gt;"",IF(INDEX($P$2:$P$417,MATCH($M299,$A$2:$A$417,0))="","",P299-INDEX($P$2:$P$417,MATCH($M299,$A$2:$A$417,0))),IF(H299&lt;&gt;"",IF(INDEX($H$2:$H$417,MATCH($M299,$A$2:$A$417,0))="","",H299-INDEX($H$2:$H$417,MATCH($M299,$A$2:$A$417,0))),IF(O299&lt;&gt;"",IF(INDEX($O$2:$O$417,MATCH($M299,$A$2:$A$417,0))="","",O299-INDEX($O$2:$O$417,MATCH($M299,$A$2:$A$417,0))),IF(Q299&lt;&gt;"",IF(INDEX($Q$2:$Q$417,MATCH($M299,$A$2:$A$417,0))="","",Q299-INDEX($Q$2:$Q$417,MATCH($M299,$A$2:$A$417,0))),"")))),"")</f>
        <v/>
      </c>
      <c r="O299" s="16" t="n"/>
      <c r="P299" s="16" t="n"/>
      <c r="Q299" s="16" t="n"/>
      <c r="R299" s="16" t="n"/>
      <c r="S299" s="16" t="n"/>
      <c r="T299" s="16" t="n"/>
      <c r="U299" s="16" t="n"/>
      <c r="V299" s="16" t="n"/>
      <c r="W299" s="16" t="n"/>
      <c r="X299" s="16" t="n"/>
      <c r="Y299" s="20" t="n"/>
      <c r="Z299" s="20" t="n"/>
      <c r="AA299" s="16" t="n"/>
      <c r="AB299" s="21" t="inlineStr">
        <is>
          <t>two-stage: binary gate g_tags_doc_100k.25 at 0.6 in front of the tagger at global0.65</t>
        </is>
      </c>
      <c r="AC299" s="21" t="n"/>
    </row>
    <row r="300" ht="28" customHeight="1">
      <c r="A300" s="2" t="inlineStr">
        <is>
          <t>R3.84</t>
        </is>
      </c>
      <c r="B300" s="3" t="n">
        <v>46254</v>
      </c>
      <c r="C300" s="2" t="inlineStr">
        <is>
          <t>sensitive</t>
        </is>
      </c>
      <c r="D300" s="2" t="inlineStr">
        <is>
          <t>gate[g_tags_doc_100k.25] -&gt; tagger[global0.65]</t>
        </is>
      </c>
      <c r="E300" s="2" t="inlineStr">
        <is>
          <t>holdout20k</t>
        </is>
      </c>
      <c r="F300" s="4" t="inlineStr">
        <is>
          <t>T1</t>
        </is>
      </c>
      <c r="G300" s="5" t="n">
        <v>20000</v>
      </c>
      <c r="H300" s="6" t="n">
        <v>0.9664122529745844</v>
      </c>
      <c r="I300" s="6" t="n">
        <v>0.9661552694472283</v>
      </c>
      <c r="J300" s="6" t="n">
        <v>0.9570580525788297</v>
      </c>
      <c r="K300" s="7" t="n"/>
      <c r="L300" s="8" t="n"/>
      <c r="M300" s="4" t="inlineStr">
        <is>
          <t>sensitive-pii-m2v-mixed-v2 [s4_c_all]</t>
        </is>
      </c>
      <c r="N300" s="9">
        <f>IFERROR(IF(P300&lt;&gt;"",IF(INDEX($P$2:$P$417,MATCH($M300,$A$2:$A$417,0))="","",P300-INDEX($P$2:$P$417,MATCH($M300,$A$2:$A$417,0))),IF(H300&lt;&gt;"",IF(INDEX($H$2:$H$417,MATCH($M300,$A$2:$A$417,0))="","",H300-INDEX($H$2:$H$417,MATCH($M300,$A$2:$A$417,0))),IF(O300&lt;&gt;"",IF(INDEX($O$2:$O$417,MATCH($M300,$A$2:$A$417,0))="","",O300-INDEX($O$2:$O$417,MATCH($M300,$A$2:$A$417,0))),IF(Q300&lt;&gt;"",IF(INDEX($Q$2:$Q$417,MATCH($M300,$A$2:$A$417,0))="","",Q300-INDEX($Q$2:$Q$417,MATCH($M300,$A$2:$A$417,0))),"")))),"")</f>
        <v/>
      </c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10" t="n"/>
      <c r="Z300" s="10" t="n"/>
      <c r="AA300" s="6" t="n"/>
      <c r="AB300" s="11" t="inlineStr">
        <is>
          <t>two-stage: binary gate g_tags_doc_100k.25 at 0.6 in front of the tagger at global0.65</t>
        </is>
      </c>
      <c r="AC300" s="11" t="n"/>
    </row>
    <row r="301" ht="28" customHeight="1">
      <c r="A301" s="12" t="inlineStr">
        <is>
          <t>R3.85</t>
        </is>
      </c>
      <c r="B301" s="13" t="n">
        <v>46254</v>
      </c>
      <c r="C301" s="12" t="inlineStr">
        <is>
          <t>sensitive</t>
        </is>
      </c>
      <c r="D301" s="12" t="inlineStr">
        <is>
          <t>gate[g_tags_doc_100k.25] -&gt; tagger[pertag]</t>
        </is>
      </c>
      <c r="E301" s="12" t="inlineStr">
        <is>
          <t>datax_eval</t>
        </is>
      </c>
      <c r="F301" s="14" t="inlineStr">
        <is>
          <t>T1</t>
        </is>
      </c>
      <c r="G301" s="15" t="n">
        <v>20000</v>
      </c>
      <c r="H301" s="16" t="n">
        <v>0.725</v>
      </c>
      <c r="I301" s="16" t="n">
        <v>0.7203125</v>
      </c>
      <c r="J301" s="16" t="n">
        <v>0.6765625</v>
      </c>
      <c r="K301" s="17" t="n"/>
      <c r="L301" s="18" t="n"/>
      <c r="M301" s="14" t="inlineStr">
        <is>
          <t>sensitive-pii-m2v-mixed-v2 [s4_c_all]</t>
        </is>
      </c>
      <c r="N301" s="19">
        <f>IFERROR(IF(P301&lt;&gt;"",IF(INDEX($P$2:$P$417,MATCH($M301,$A$2:$A$417,0))="","",P301-INDEX($P$2:$P$417,MATCH($M301,$A$2:$A$417,0))),IF(H301&lt;&gt;"",IF(INDEX($H$2:$H$417,MATCH($M301,$A$2:$A$417,0))="","",H301-INDEX($H$2:$H$417,MATCH($M301,$A$2:$A$417,0))),IF(O301&lt;&gt;"",IF(INDEX($O$2:$O$417,MATCH($M301,$A$2:$A$417,0))="","",O301-INDEX($O$2:$O$417,MATCH($M301,$A$2:$A$417,0))),IF(Q301&lt;&gt;"",IF(INDEX($Q$2:$Q$417,MATCH($M301,$A$2:$A$417,0))="","",Q301-INDEX($Q$2:$Q$417,MATCH($M301,$A$2:$A$417,0))),"")))),"")</f>
        <v/>
      </c>
      <c r="O301" s="16" t="n"/>
      <c r="P301" s="16" t="n"/>
      <c r="Q301" s="16" t="n"/>
      <c r="R301" s="16" t="n"/>
      <c r="S301" s="16" t="n"/>
      <c r="T301" s="16" t="n"/>
      <c r="U301" s="16" t="n"/>
      <c r="V301" s="16" t="n"/>
      <c r="W301" s="16" t="n"/>
      <c r="X301" s="16" t="n"/>
      <c r="Y301" s="20" t="n"/>
      <c r="Z301" s="20" t="n"/>
      <c r="AA301" s="16" t="n"/>
      <c r="AB301" s="21" t="inlineStr">
        <is>
          <t>two-stage: binary gate g_tags_doc_100k.25 at 0.6 in front of the tagger at pertag</t>
        </is>
      </c>
      <c r="AC301" s="21" t="n"/>
    </row>
    <row r="302" ht="28" customHeight="1">
      <c r="A302" s="2" t="inlineStr">
        <is>
          <t>R3.86</t>
        </is>
      </c>
      <c r="B302" s="3" t="n">
        <v>46254</v>
      </c>
      <c r="C302" s="2" t="inlineStr">
        <is>
          <t>sensitive</t>
        </is>
      </c>
      <c r="D302" s="2" t="inlineStr">
        <is>
          <t>gate[g_tags_doc_100k.25] -&gt; tagger[pertag]</t>
        </is>
      </c>
      <c r="E302" s="2" t="inlineStr">
        <is>
          <t>govdocs2_eval20</t>
        </is>
      </c>
      <c r="F302" s="4" t="inlineStr">
        <is>
          <t>T1</t>
        </is>
      </c>
      <c r="G302" s="5" t="n">
        <v>20000</v>
      </c>
      <c r="H302" s="6" t="n">
        <v>0.5256609642301711</v>
      </c>
      <c r="I302" s="6" t="n">
        <v>0.516329704510109</v>
      </c>
      <c r="J302" s="6" t="n">
        <v>0.4883359253499222</v>
      </c>
      <c r="K302" s="7" t="n"/>
      <c r="L302" s="8" t="n"/>
      <c r="M302" s="4" t="inlineStr">
        <is>
          <t>sensitive-pii-m2v-mixed-v2 [s4_c_all]</t>
        </is>
      </c>
      <c r="N302" s="9">
        <f>IFERROR(IF(P302&lt;&gt;"",IF(INDEX($P$2:$P$417,MATCH($M302,$A$2:$A$417,0))="","",P302-INDEX($P$2:$P$417,MATCH($M302,$A$2:$A$417,0))),IF(H302&lt;&gt;"",IF(INDEX($H$2:$H$417,MATCH($M302,$A$2:$A$417,0))="","",H302-INDEX($H$2:$H$417,MATCH($M302,$A$2:$A$417,0))),IF(O302&lt;&gt;"",IF(INDEX($O$2:$O$417,MATCH($M302,$A$2:$A$417,0))="","",O302-INDEX($O$2:$O$417,MATCH($M302,$A$2:$A$417,0))),IF(Q302&lt;&gt;"",IF(INDEX($Q$2:$Q$417,MATCH($M302,$A$2:$A$417,0))="","",Q302-INDEX($Q$2:$Q$417,MATCH($M302,$A$2:$A$417,0))),"")))),"")</f>
        <v/>
      </c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10" t="n"/>
      <c r="Z302" s="10" t="n"/>
      <c r="AA302" s="6" t="n"/>
      <c r="AB302" s="11" t="inlineStr">
        <is>
          <t>two-stage: binary gate g_tags_doc_100k.25 at 0.6 in front of the tagger at pertag</t>
        </is>
      </c>
      <c r="AC302" s="11" t="n"/>
    </row>
    <row r="303" ht="28" customHeight="1">
      <c r="A303" s="12" t="inlineStr">
        <is>
          <t>R3.87</t>
        </is>
      </c>
      <c r="B303" s="13" t="n">
        <v>46254</v>
      </c>
      <c r="C303" s="12" t="inlineStr">
        <is>
          <t>sensitive</t>
        </is>
      </c>
      <c r="D303" s="12" t="inlineStr">
        <is>
          <t>gate[g_tags_doc_100k.25] -&gt; tagger[pertag]</t>
        </is>
      </c>
      <c r="E303" s="12" t="inlineStr">
        <is>
          <t>holdout20k</t>
        </is>
      </c>
      <c r="F303" s="14" t="inlineStr">
        <is>
          <t>T1</t>
        </is>
      </c>
      <c r="G303" s="15" t="n">
        <v>20000</v>
      </c>
      <c r="H303" s="16" t="n">
        <v>0.9629572464886557</v>
      </c>
      <c r="I303" s="16" t="n">
        <v>0.9619282811133404</v>
      </c>
      <c r="J303" s="16" t="n">
        <v>0.9504038689098112</v>
      </c>
      <c r="K303" s="17" t="n"/>
      <c r="L303" s="18" t="n"/>
      <c r="M303" s="14" t="inlineStr">
        <is>
          <t>sensitive-pii-m2v-mixed-v2 [s4_c_all]</t>
        </is>
      </c>
      <c r="N303" s="19">
        <f>IFERROR(IF(P303&lt;&gt;"",IF(INDEX($P$2:$P$417,MATCH($M303,$A$2:$A$417,0))="","",P303-INDEX($P$2:$P$417,MATCH($M303,$A$2:$A$417,0))),IF(H303&lt;&gt;"",IF(INDEX($H$2:$H$417,MATCH($M303,$A$2:$A$417,0))="","",H303-INDEX($H$2:$H$417,MATCH($M303,$A$2:$A$417,0))),IF(O303&lt;&gt;"",IF(INDEX($O$2:$O$417,MATCH($M303,$A$2:$A$417,0))="","",O303-INDEX($O$2:$O$417,MATCH($M303,$A$2:$A$417,0))),IF(Q303&lt;&gt;"",IF(INDEX($Q$2:$Q$417,MATCH($M303,$A$2:$A$417,0))="","",Q303-INDEX($Q$2:$Q$417,MATCH($M303,$A$2:$A$417,0))),"")))),"")</f>
        <v/>
      </c>
      <c r="O303" s="16" t="n"/>
      <c r="P303" s="16" t="n"/>
      <c r="Q303" s="16" t="n"/>
      <c r="R303" s="16" t="n"/>
      <c r="S303" s="16" t="n"/>
      <c r="T303" s="16" t="n"/>
      <c r="U303" s="16" t="n"/>
      <c r="V303" s="16" t="n"/>
      <c r="W303" s="16" t="n"/>
      <c r="X303" s="16" t="n"/>
      <c r="Y303" s="20" t="n"/>
      <c r="Z303" s="20" t="n"/>
      <c r="AA303" s="16" t="n"/>
      <c r="AB303" s="21" t="inlineStr">
        <is>
          <t>two-stage: binary gate g_tags_doc_100k.25 at 0.6 in front of the tagger at pertag</t>
        </is>
      </c>
      <c r="AC303" s="21" t="n"/>
    </row>
    <row r="304" ht="28" customHeight="1">
      <c r="A304" s="2" t="inlineStr">
        <is>
          <t>R3.88</t>
        </is>
      </c>
      <c r="B304" s="3" t="n">
        <v>46254</v>
      </c>
      <c r="C304" s="2" t="inlineStr">
        <is>
          <t>sensitive</t>
        </is>
      </c>
      <c r="D304" s="2" t="inlineStr">
        <is>
          <t>gate[g_tags_doc_100k.25] -&gt; tagger[rank_only]</t>
        </is>
      </c>
      <c r="E304" s="2" t="inlineStr">
        <is>
          <t>datax_eval</t>
        </is>
      </c>
      <c r="F304" s="4" t="inlineStr">
        <is>
          <t>T1</t>
        </is>
      </c>
      <c r="G304" s="5" t="n">
        <v>20000</v>
      </c>
      <c r="H304" s="6" t="n">
        <v>0.7660550458715597</v>
      </c>
      <c r="I304" s="6" t="n">
        <v>0.7522935779816514</v>
      </c>
      <c r="J304" s="6" t="n">
        <v>0.6926605504587156</v>
      </c>
      <c r="K304" s="7" t="n"/>
      <c r="L304" s="8" t="n"/>
      <c r="M304" s="4" t="inlineStr">
        <is>
          <t>sensitive-pii-m2v-mixed-v2 [s4_c_all]</t>
        </is>
      </c>
      <c r="N304" s="9">
        <f>IFERROR(IF(P304&lt;&gt;"",IF(INDEX($P$2:$P$417,MATCH($M304,$A$2:$A$417,0))="","",P304-INDEX($P$2:$P$417,MATCH($M304,$A$2:$A$417,0))),IF(H304&lt;&gt;"",IF(INDEX($H$2:$H$417,MATCH($M304,$A$2:$A$417,0))="","",H304-INDEX($H$2:$H$417,MATCH($M304,$A$2:$A$417,0))),IF(O304&lt;&gt;"",IF(INDEX($O$2:$O$417,MATCH($M304,$A$2:$A$417,0))="","",O304-INDEX($O$2:$O$417,MATCH($M304,$A$2:$A$417,0))),IF(Q304&lt;&gt;"",IF(INDEX($Q$2:$Q$417,MATCH($M304,$A$2:$A$417,0))="","",Q304-INDEX($Q$2:$Q$417,MATCH($M304,$A$2:$A$417,0))),"")))),"")</f>
        <v/>
      </c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10" t="n"/>
      <c r="Z304" s="10" t="n"/>
      <c r="AA304" s="6" t="n"/>
      <c r="AB304" s="11" t="inlineStr">
        <is>
          <t>two-stage: binary gate g_tags_doc_100k.25 at 0.6 in front of the tagger at rank_only</t>
        </is>
      </c>
      <c r="AC304" s="11" t="n"/>
    </row>
    <row r="305" ht="28" customHeight="1">
      <c r="A305" s="12" t="inlineStr">
        <is>
          <t>R3.89</t>
        </is>
      </c>
      <c r="B305" s="13" t="n">
        <v>46254</v>
      </c>
      <c r="C305" s="12" t="inlineStr">
        <is>
          <t>sensitive</t>
        </is>
      </c>
      <c r="D305" s="12" t="inlineStr">
        <is>
          <t>gate[g_tags_doc_100k.25] -&gt; tagger[rank_only]</t>
        </is>
      </c>
      <c r="E305" s="12" t="inlineStr">
        <is>
          <t>govdocs2_eval20</t>
        </is>
      </c>
      <c r="F305" s="14" t="inlineStr">
        <is>
          <t>T1</t>
        </is>
      </c>
      <c r="G305" s="15" t="n">
        <v>20000</v>
      </c>
      <c r="H305" s="16" t="n">
        <v>0.5505124450951683</v>
      </c>
      <c r="I305" s="16" t="n">
        <v>0.5446559297218155</v>
      </c>
      <c r="J305" s="16" t="n">
        <v>0.5153733528550514</v>
      </c>
      <c r="K305" s="17" t="n"/>
      <c r="L305" s="18" t="n"/>
      <c r="M305" s="14" t="inlineStr">
        <is>
          <t>sensitive-pii-m2v-mixed-v2 [s4_c_all]</t>
        </is>
      </c>
      <c r="N305" s="19">
        <f>IFERROR(IF(P305&lt;&gt;"",IF(INDEX($P$2:$P$417,MATCH($M305,$A$2:$A$417,0))="","",P305-INDEX($P$2:$P$417,MATCH($M305,$A$2:$A$417,0))),IF(H305&lt;&gt;"",IF(INDEX($H$2:$H$417,MATCH($M305,$A$2:$A$417,0))="","",H305-INDEX($H$2:$H$417,MATCH($M305,$A$2:$A$417,0))),IF(O305&lt;&gt;"",IF(INDEX($O$2:$O$417,MATCH($M305,$A$2:$A$417,0))="","",O305-INDEX($O$2:$O$417,MATCH($M305,$A$2:$A$417,0))),IF(Q305&lt;&gt;"",IF(INDEX($Q$2:$Q$417,MATCH($M305,$A$2:$A$417,0))="","",Q305-INDEX($Q$2:$Q$417,MATCH($M305,$A$2:$A$417,0))),"")))),"")</f>
        <v/>
      </c>
      <c r="O305" s="16" t="n"/>
      <c r="P305" s="16" t="n"/>
      <c r="Q305" s="16" t="n"/>
      <c r="R305" s="16" t="n"/>
      <c r="S305" s="16" t="n"/>
      <c r="T305" s="16" t="n"/>
      <c r="U305" s="16" t="n"/>
      <c r="V305" s="16" t="n"/>
      <c r="W305" s="16" t="n"/>
      <c r="X305" s="16" t="n"/>
      <c r="Y305" s="20" t="n"/>
      <c r="Z305" s="20" t="n"/>
      <c r="AA305" s="16" t="n"/>
      <c r="AB305" s="21" t="inlineStr">
        <is>
          <t>two-stage: binary gate g_tags_doc_100k.25 at 0.6 in front of the tagger at rank_only</t>
        </is>
      </c>
      <c r="AC305" s="21" t="n"/>
    </row>
    <row r="306" ht="28" customHeight="1">
      <c r="A306" s="2" t="inlineStr">
        <is>
          <t>R3.90</t>
        </is>
      </c>
      <c r="B306" s="3" t="n">
        <v>46254</v>
      </c>
      <c r="C306" s="2" t="inlineStr">
        <is>
          <t>sensitive</t>
        </is>
      </c>
      <c r="D306" s="2" t="inlineStr">
        <is>
          <t>gate[g_tags_doc_100k.25] -&gt; tagger[rank_only]</t>
        </is>
      </c>
      <c r="E306" s="2" t="inlineStr">
        <is>
          <t>holdout20k</t>
        </is>
      </c>
      <c r="F306" s="4" t="inlineStr">
        <is>
          <t>T1</t>
        </is>
      </c>
      <c r="G306" s="5" t="n">
        <v>20000</v>
      </c>
      <c r="H306" s="6" t="n">
        <v>0.976235498543466</v>
      </c>
      <c r="I306" s="6" t="n">
        <v>0.9742423468084019</v>
      </c>
      <c r="J306" s="6" t="n">
        <v>0.9588081974753412</v>
      </c>
      <c r="K306" s="7" t="n"/>
      <c r="L306" s="8" t="n"/>
      <c r="M306" s="4" t="inlineStr">
        <is>
          <t>sensitive-pii-m2v-mixed-v2 [s4_c_all]</t>
        </is>
      </c>
      <c r="N306" s="9">
        <f>IFERROR(IF(P306&lt;&gt;"",IF(INDEX($P$2:$P$417,MATCH($M306,$A$2:$A$417,0))="","",P306-INDEX($P$2:$P$417,MATCH($M306,$A$2:$A$417,0))),IF(H306&lt;&gt;"",IF(INDEX($H$2:$H$417,MATCH($M306,$A$2:$A$417,0))="","",H306-INDEX($H$2:$H$417,MATCH($M306,$A$2:$A$417,0))),IF(O306&lt;&gt;"",IF(INDEX($O$2:$O$417,MATCH($M306,$A$2:$A$417,0))="","",O306-INDEX($O$2:$O$417,MATCH($M306,$A$2:$A$417,0))),IF(Q306&lt;&gt;"",IF(INDEX($Q$2:$Q$417,MATCH($M306,$A$2:$A$417,0))="","",Q306-INDEX($Q$2:$Q$417,MATCH($M306,$A$2:$A$417,0))),"")))),"")</f>
        <v/>
      </c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10" t="n"/>
      <c r="Z306" s="10" t="n"/>
      <c r="AA306" s="6" t="n"/>
      <c r="AB306" s="11" t="inlineStr">
        <is>
          <t>two-stage: binary gate g_tags_doc_100k.25 at 0.6 in front of the tagger at rank_only</t>
        </is>
      </c>
      <c r="AC306" s="11" t="n"/>
    </row>
    <row r="307" ht="28" customHeight="1">
      <c r="A307" s="12" t="inlineStr">
        <is>
          <t>R3.91</t>
        </is>
      </c>
      <c r="B307" s="13" t="n">
        <v>46254</v>
      </c>
      <c r="C307" s="12" t="inlineStr">
        <is>
          <t>sensitive</t>
        </is>
      </c>
      <c r="D307" s="12" t="inlineStr">
        <is>
          <t>sensitive-pii-m2v-mixed-v2 [previous champion]</t>
        </is>
      </c>
      <c r="E307" s="12" t="inlineStr">
        <is>
          <t>datax_eval</t>
        </is>
      </c>
      <c r="F307" s="14" t="inlineStr">
        <is>
          <t>T1</t>
        </is>
      </c>
      <c r="G307" s="15" t="n">
        <v>20000</v>
      </c>
      <c r="H307" s="16" t="n">
        <v>0.7484232655921514</v>
      </c>
      <c r="I307" s="16" t="n">
        <v>0.7456201822004204</v>
      </c>
      <c r="J307" s="16" t="n">
        <v>0.6937631394533987</v>
      </c>
      <c r="K307" s="17">
        <f>IF(OR(L307="",L307=0),"",1000/L307)</f>
        <v/>
      </c>
      <c r="L307" s="18" t="n">
        <v>1.417</v>
      </c>
      <c r="M307" s="14" t="n"/>
      <c r="N307" s="19">
        <f>IFERROR(IF(P307&lt;&gt;"",IF(INDEX($P$2:$P$417,MATCH($M307,$A$2:$A$417,0))="","",P307-INDEX($P$2:$P$417,MATCH($M307,$A$2:$A$417,0))),IF(H307&lt;&gt;"",IF(INDEX($H$2:$H$417,MATCH($M307,$A$2:$A$417,0))="","",H307-INDEX($H$2:$H$417,MATCH($M307,$A$2:$A$417,0))),IF(O307&lt;&gt;"",IF(INDEX($O$2:$O$417,MATCH($M307,$A$2:$A$417,0))="","",O307-INDEX($O$2:$O$417,MATCH($M307,$A$2:$A$417,0))),IF(Q307&lt;&gt;"",IF(INDEX($Q$2:$Q$417,MATCH($M307,$A$2:$A$417,0))="","",Q307-INDEX($Q$2:$Q$417,MATCH($M307,$A$2:$A$417,0))),"")))),"")</f>
        <v/>
      </c>
      <c r="O307" s="16" t="n"/>
      <c r="P307" s="16" t="n"/>
      <c r="Q307" s="16" t="n"/>
      <c r="R307" s="16" t="n"/>
      <c r="S307" s="16" t="n"/>
      <c r="T307" s="16" t="n"/>
      <c r="U307" s="16" t="n"/>
      <c r="V307" s="16" t="n"/>
      <c r="W307" s="16" t="n"/>
      <c r="X307" s="16" t="n"/>
      <c r="Y307" s="20" t="n"/>
      <c r="Z307" s="20" t="n"/>
      <c r="AA307" s="16" t="n"/>
      <c r="AB307" s="21" t="inlineStr">
        <is>
          <t>no gate, one global cut of 0.65</t>
        </is>
      </c>
      <c r="AC307" s="21" t="n"/>
    </row>
    <row r="308" ht="28" customHeight="1">
      <c r="A308" s="2" t="inlineStr">
        <is>
          <t>R3.92</t>
        </is>
      </c>
      <c r="B308" s="3" t="n">
        <v>46254</v>
      </c>
      <c r="C308" s="2" t="inlineStr">
        <is>
          <t>sensitive</t>
        </is>
      </c>
      <c r="D308" s="2" t="inlineStr">
        <is>
          <t>sensitive-pii-m2v-mixed-v2 [previous champion]</t>
        </is>
      </c>
      <c r="E308" s="2" t="inlineStr">
        <is>
          <t>govdocs2_eval20</t>
        </is>
      </c>
      <c r="F308" s="4" t="inlineStr">
        <is>
          <t>T1</t>
        </is>
      </c>
      <c r="G308" s="5" t="n">
        <v>20000</v>
      </c>
      <c r="H308" s="6" t="n">
        <v>0.4518134715025907</v>
      </c>
      <c r="I308" s="6" t="n">
        <v>0.4518134715025907</v>
      </c>
      <c r="J308" s="6" t="n">
        <v>0.4352331606217616</v>
      </c>
      <c r="K308" s="7">
        <f>IF(OR(L308="",L308=0),"",1000/L308)</f>
        <v/>
      </c>
      <c r="L308" s="8" t="n">
        <v>1.417</v>
      </c>
      <c r="M308" s="4" t="n"/>
      <c r="N308" s="9">
        <f>IFERROR(IF(P308&lt;&gt;"",IF(INDEX($P$2:$P$417,MATCH($M308,$A$2:$A$417,0))="","",P308-INDEX($P$2:$P$417,MATCH($M308,$A$2:$A$417,0))),IF(H308&lt;&gt;"",IF(INDEX($H$2:$H$417,MATCH($M308,$A$2:$A$417,0))="","",H308-INDEX($H$2:$H$417,MATCH($M308,$A$2:$A$417,0))),IF(O308&lt;&gt;"",IF(INDEX($O$2:$O$417,MATCH($M308,$A$2:$A$417,0))="","",O308-INDEX($O$2:$O$417,MATCH($M308,$A$2:$A$417,0))),IF(Q308&lt;&gt;"",IF(INDEX($Q$2:$Q$417,MATCH($M308,$A$2:$A$417,0))="","",Q308-INDEX($Q$2:$Q$417,MATCH($M308,$A$2:$A$417,0))),"")))),"")</f>
        <v/>
      </c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10" t="n"/>
      <c r="Z308" s="10" t="n"/>
      <c r="AA308" s="6" t="n"/>
      <c r="AB308" s="11" t="inlineStr">
        <is>
          <t>no gate, one global cut of 0.65</t>
        </is>
      </c>
      <c r="AC308" s="11" t="n"/>
    </row>
    <row r="309" ht="28" customHeight="1">
      <c r="A309" s="12" t="inlineStr">
        <is>
          <t>R3.93</t>
        </is>
      </c>
      <c r="B309" s="13" t="n">
        <v>46254</v>
      </c>
      <c r="C309" s="12" t="inlineStr">
        <is>
          <t>sensitive</t>
        </is>
      </c>
      <c r="D309" s="12" t="inlineStr">
        <is>
          <t>sensitive-pii-m2v-mixed-v2 [previous champion]</t>
        </is>
      </c>
      <c r="E309" s="12" t="inlineStr">
        <is>
          <t>holdout20k</t>
        </is>
      </c>
      <c r="F309" s="14" t="inlineStr">
        <is>
          <t>T1</t>
        </is>
      </c>
      <c r="G309" s="15" t="n">
        <v>20000</v>
      </c>
      <c r="H309" s="16" t="n">
        <v>0.9766508295434335</v>
      </c>
      <c r="I309" s="16" t="n">
        <v>0.9763967580477145</v>
      </c>
      <c r="J309" s="16" t="n">
        <v>0.966894484107828</v>
      </c>
      <c r="K309" s="17">
        <f>IF(OR(L309="",L309=0),"",1000/L309)</f>
        <v/>
      </c>
      <c r="L309" s="18" t="n">
        <v>1.417</v>
      </c>
      <c r="M309" s="14" t="n"/>
      <c r="N309" s="19">
        <f>IFERROR(IF(P309&lt;&gt;"",IF(INDEX($P$2:$P$417,MATCH($M309,$A$2:$A$417,0))="","",P309-INDEX($P$2:$P$417,MATCH($M309,$A$2:$A$417,0))),IF(H309&lt;&gt;"",IF(INDEX($H$2:$H$417,MATCH($M309,$A$2:$A$417,0))="","",H309-INDEX($H$2:$H$417,MATCH($M309,$A$2:$A$417,0))),IF(O309&lt;&gt;"",IF(INDEX($O$2:$O$417,MATCH($M309,$A$2:$A$417,0))="","",O309-INDEX($O$2:$O$417,MATCH($M309,$A$2:$A$417,0))),IF(Q309&lt;&gt;"",IF(INDEX($Q$2:$Q$417,MATCH($M309,$A$2:$A$417,0))="","",Q309-INDEX($Q$2:$Q$417,MATCH($M309,$A$2:$A$417,0))),"")))),"")</f>
        <v/>
      </c>
      <c r="O309" s="16" t="n"/>
      <c r="P309" s="16" t="n"/>
      <c r="Q309" s="16" t="n"/>
      <c r="R309" s="16" t="n"/>
      <c r="S309" s="16" t="n"/>
      <c r="T309" s="16" t="n"/>
      <c r="U309" s="16" t="n"/>
      <c r="V309" s="16" t="n"/>
      <c r="W309" s="16" t="n"/>
      <c r="X309" s="16" t="n"/>
      <c r="Y309" s="20" t="n"/>
      <c r="Z309" s="20" t="n"/>
      <c r="AA309" s="16" t="n"/>
      <c r="AB309" s="21" t="inlineStr">
        <is>
          <t>no gate, one global cut of 0.65</t>
        </is>
      </c>
      <c r="AC309" s="21" t="n"/>
    </row>
    <row r="310" ht="28" customHeight="1">
      <c r="A310" s="2" t="inlineStr">
        <is>
          <t>R4.1</t>
        </is>
      </c>
      <c r="B310" s="3" t="n">
        <v>46254</v>
      </c>
      <c r="C310" s="2" t="inlineStr">
        <is>
          <t>sensitive</t>
        </is>
      </c>
      <c r="D310" s="2" t="inlineStr">
        <is>
          <t>sensitive-pii-m2v-gated-v3 [.docx extraction: headers_first]</t>
        </is>
      </c>
      <c r="E310" s="2" t="inlineStr">
        <is>
          <t>datax_eval</t>
        </is>
      </c>
      <c r="F310" s="4" t="inlineStr">
        <is>
          <t>T1</t>
        </is>
      </c>
      <c r="G310" s="5" t="n">
        <v>20000</v>
      </c>
      <c r="H310" s="6" t="n">
        <v>0.7786144578313253</v>
      </c>
      <c r="I310" s="6" t="n">
        <v>0.7635542168674698</v>
      </c>
      <c r="J310" s="6" t="n">
        <v>0.697289156626506</v>
      </c>
      <c r="K310" s="7">
        <f>IF(OR(L310="",L310=0),"",1000/L310)</f>
        <v/>
      </c>
      <c r="L310" s="8" t="n">
        <v>1.852</v>
      </c>
      <c r="M310" s="4" t="inlineStr">
        <is>
          <t>R4.3</t>
        </is>
      </c>
      <c r="N310" s="9">
        <f>IFERROR(IF(P310&lt;&gt;"",IF(INDEX($P$2:$P$417,MATCH($M310,$A$2:$A$417,0))="","",P310-INDEX($P$2:$P$417,MATCH($M310,$A$2:$A$417,0))),IF(H310&lt;&gt;"",IF(INDEX($H$2:$H$417,MATCH($M310,$A$2:$A$417,0))="","",H310-INDEX($H$2:$H$417,MATCH($M310,$A$2:$A$417,0))),IF(O310&lt;&gt;"",IF(INDEX($O$2:$O$417,MATCH($M310,$A$2:$A$417,0))="","",O310-INDEX($O$2:$O$417,MATCH($M310,$A$2:$A$417,0))),IF(Q310&lt;&gt;"",IF(INDEX($Q$2:$Q$417,MATCH($M310,$A$2:$A$417,0))="","",Q310-INDEX($Q$2:$Q$417,MATCH($M310,$A$2:$A$417,0))),"")))),"")</f>
        <v/>
      </c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10" t="n"/>
      <c r="Z310" s="10" t="n"/>
      <c r="AA310" s="6" t="n"/>
      <c r="AB310" s="11" t="inlineStr">
        <is>
          <t>headers, body, footers, notes - headers first</t>
        </is>
      </c>
      <c r="AC310" s="11" t="n"/>
    </row>
    <row r="311" ht="28" customHeight="1">
      <c r="A311" s="12" t="inlineStr">
        <is>
          <t>R4.2</t>
        </is>
      </c>
      <c r="B311" s="13" t="n">
        <v>46254</v>
      </c>
      <c r="C311" s="12" t="inlineStr">
        <is>
          <t>sensitive</t>
        </is>
      </c>
      <c r="D311" s="12" t="inlineStr">
        <is>
          <t>sensitive-pii-m2v-gated-v3 [.docx extraction: headers_last]</t>
        </is>
      </c>
      <c r="E311" s="12" t="inlineStr">
        <is>
          <t>datax_eval</t>
        </is>
      </c>
      <c r="F311" s="14" t="inlineStr">
        <is>
          <t>T1</t>
        </is>
      </c>
      <c r="G311" s="15" t="n">
        <v>20000</v>
      </c>
      <c r="H311" s="16" t="n">
        <v>0.7774436090225563</v>
      </c>
      <c r="I311" s="16" t="n">
        <v>0.7669172932330828</v>
      </c>
      <c r="J311" s="16" t="n">
        <v>0.6962406015037594</v>
      </c>
      <c r="K311" s="17">
        <f>IF(OR(L311="",L311=0),"",1000/L311)</f>
        <v/>
      </c>
      <c r="L311" s="18" t="n">
        <v>1.852</v>
      </c>
      <c r="M311" s="14" t="inlineStr">
        <is>
          <t>R4.3</t>
        </is>
      </c>
      <c r="N311" s="19">
        <f>IFERROR(IF(P311&lt;&gt;"",IF(INDEX($P$2:$P$417,MATCH($M311,$A$2:$A$417,0))="","",P311-INDEX($P$2:$P$417,MATCH($M311,$A$2:$A$417,0))),IF(H311&lt;&gt;"",IF(INDEX($H$2:$H$417,MATCH($M311,$A$2:$A$417,0))="","",H311-INDEX($H$2:$H$417,MATCH($M311,$A$2:$A$417,0))),IF(O311&lt;&gt;"",IF(INDEX($O$2:$O$417,MATCH($M311,$A$2:$A$417,0))="","",O311-INDEX($O$2:$O$417,MATCH($M311,$A$2:$A$417,0))),IF(Q311&lt;&gt;"",IF(INDEX($Q$2:$Q$417,MATCH($M311,$A$2:$A$417,0))="","",Q311-INDEX($Q$2:$Q$417,MATCH($M311,$A$2:$A$417,0))),"")))),"")</f>
        <v/>
      </c>
      <c r="O311" s="16" t="n"/>
      <c r="P311" s="16" t="n"/>
      <c r="Q311" s="16" t="n"/>
      <c r="R311" s="16" t="n"/>
      <c r="S311" s="16" t="n"/>
      <c r="T311" s="16" t="n"/>
      <c r="U311" s="16" t="n"/>
      <c r="V311" s="16" t="n"/>
      <c r="W311" s="16" t="n"/>
      <c r="X311" s="16" t="n"/>
      <c r="Y311" s="20" t="n"/>
      <c r="Z311" s="20" t="n"/>
      <c r="AA311" s="16" t="n"/>
      <c r="AB311" s="21" t="inlineStr">
        <is>
          <t>body, headers, footers, notes - headers after the body</t>
        </is>
      </c>
      <c r="AC311" s="21" t="n"/>
    </row>
    <row r="312" ht="28" customHeight="1">
      <c r="A312" s="2" t="inlineStr">
        <is>
          <t>R4.3</t>
        </is>
      </c>
      <c r="B312" s="3" t="n">
        <v>46254</v>
      </c>
      <c r="C312" s="2" t="inlineStr">
        <is>
          <t>sensitive</t>
        </is>
      </c>
      <c r="D312" s="2" t="inlineStr">
        <is>
          <t>sensitive-pii-m2v-gated-v3 [.docx extraction: original]</t>
        </is>
      </c>
      <c r="E312" s="2" t="inlineStr">
        <is>
          <t>datax_eval</t>
        </is>
      </c>
      <c r="F312" s="4" t="inlineStr">
        <is>
          <t>T1</t>
        </is>
      </c>
      <c r="G312" s="5" t="n">
        <v>20000</v>
      </c>
      <c r="H312" s="6" t="n">
        <v>0.7835990888382688</v>
      </c>
      <c r="I312" s="6" t="n">
        <v>0.7729688686408505</v>
      </c>
      <c r="J312" s="6" t="n">
        <v>0.7091875474563402</v>
      </c>
      <c r="K312" s="7">
        <f>IF(OR(L312="",L312=0),"",1000/L312)</f>
        <v/>
      </c>
      <c r="L312" s="8" t="n">
        <v>1.852</v>
      </c>
      <c r="M312" s="4" t="n"/>
      <c r="N312" s="9">
        <f>IFERROR(IF(P312&lt;&gt;"",IF(INDEX($P$2:$P$417,MATCH($M312,$A$2:$A$417,0))="","",P312-INDEX($P$2:$P$417,MATCH($M312,$A$2:$A$417,0))),IF(H312&lt;&gt;"",IF(INDEX($H$2:$H$417,MATCH($M312,$A$2:$A$417,0))="","",H312-INDEX($H$2:$H$417,MATCH($M312,$A$2:$A$417,0))),IF(O312&lt;&gt;"",IF(INDEX($O$2:$O$417,MATCH($M312,$A$2:$A$417,0))="","",O312-INDEX($O$2:$O$417,MATCH($M312,$A$2:$A$417,0))),IF(Q312&lt;&gt;"",IF(INDEX($Q$2:$Q$417,MATCH($M312,$A$2:$A$417,0))="","",Q312-INDEX($Q$2:$Q$417,MATCH($M312,$A$2:$A$417,0))),"")))),"")</f>
        <v/>
      </c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10" t="n"/>
      <c r="Z312" s="10" t="n"/>
      <c r="AA312" s="6" t="n"/>
      <c r="AB312" s="11" t="inlineStr">
        <is>
          <t>body only - word/document.xml, the extractor this model shipped with</t>
        </is>
      </c>
      <c r="AC312" s="11" t="n"/>
    </row>
    <row r="313" ht="28" customHeight="1">
      <c r="A313" s="12" t="inlineStr">
        <is>
          <t>R4.4</t>
        </is>
      </c>
      <c r="B313" s="13" t="n">
        <v>46254</v>
      </c>
      <c r="C313" s="12" t="inlineStr">
        <is>
          <t>sensitive</t>
        </is>
      </c>
      <c r="D313" s="12" t="inlineStr">
        <is>
          <t>gated-v3 retrained [body_only]</t>
        </is>
      </c>
      <c r="E313" s="12" t="inlineStr">
        <is>
          <t>datax_eval</t>
        </is>
      </c>
      <c r="F313" s="14" t="inlineStr">
        <is>
          <t>T1</t>
        </is>
      </c>
      <c r="G313" s="15" t="n">
        <v>20000</v>
      </c>
      <c r="H313" s="16" t="n">
        <v>0.7919942816297355</v>
      </c>
      <c r="I313" s="16" t="n">
        <v>0.7734095782701931</v>
      </c>
      <c r="J313" s="16" t="n">
        <v>0.7019299499642602</v>
      </c>
      <c r="K313" s="17">
        <f>IF(OR(L313="",L313=0),"",1000/L313)</f>
        <v/>
      </c>
      <c r="L313" s="18" t="n">
        <v>1.852</v>
      </c>
      <c r="M313" s="14" t="n"/>
      <c r="N313" s="19">
        <f>IFERROR(IF(P313&lt;&gt;"",IF(INDEX($P$2:$P$417,MATCH($M313,$A$2:$A$417,0))="","",P313-INDEX($P$2:$P$417,MATCH($M313,$A$2:$A$417,0))),IF(H313&lt;&gt;"",IF(INDEX($H$2:$H$417,MATCH($M313,$A$2:$A$417,0))="","",H313-INDEX($H$2:$H$417,MATCH($M313,$A$2:$A$417,0))),IF(O313&lt;&gt;"",IF(INDEX($O$2:$O$417,MATCH($M313,$A$2:$A$417,0))="","",O313-INDEX($O$2:$O$417,MATCH($M313,$A$2:$A$417,0))),IF(Q313&lt;&gt;"",IF(INDEX($Q$2:$Q$417,MATCH($M313,$A$2:$A$417,0))="","",Q313-INDEX($Q$2:$Q$417,MATCH($M313,$A$2:$A$417,0))),"")))),"")</f>
        <v/>
      </c>
      <c r="O313" s="16" t="n"/>
      <c r="P313" s="16" t="n"/>
      <c r="Q313" s="16" t="n"/>
      <c r="R313" s="16" t="n"/>
      <c r="S313" s="16" t="n"/>
      <c r="T313" s="16" t="n"/>
      <c r="U313" s="16" t="n"/>
      <c r="V313" s="16" t="n"/>
      <c r="W313" s="16" t="n"/>
      <c r="X313" s="16" t="n"/>
      <c r="Y313" s="20" t="n"/>
      <c r="Z313" s="20" t="n"/>
      <c r="AA313" s="16" t="n"/>
      <c r="AB313" s="21" t="inlineStr">
        <is>
          <t>trained and evaluated on the body-only .docx extraction; gate threshold 0.45</t>
        </is>
      </c>
      <c r="AC313" s="21" t="n"/>
    </row>
    <row r="314" ht="28" customHeight="1">
      <c r="A314" s="2" t="inlineStr">
        <is>
          <t>R4.5</t>
        </is>
      </c>
      <c r="B314" s="3" t="n">
        <v>46254</v>
      </c>
      <c r="C314" s="2" t="inlineStr">
        <is>
          <t>sensitive</t>
        </is>
      </c>
      <c r="D314" s="2" t="inlineStr">
        <is>
          <t>gated-v3 retrained [body_only]</t>
        </is>
      </c>
      <c r="E314" s="2" t="inlineStr">
        <is>
          <t>holdout20k</t>
        </is>
      </c>
      <c r="F314" s="4" t="inlineStr">
        <is>
          <t>T1</t>
        </is>
      </c>
      <c r="G314" s="5" t="n">
        <v>20000</v>
      </c>
      <c r="H314" s="6" t="n">
        <v>0.9835608097823328</v>
      </c>
      <c r="I314" s="6" t="n">
        <v>0.9815820183672435</v>
      </c>
      <c r="J314" s="6" t="n">
        <v>0.9647876604596886</v>
      </c>
      <c r="K314" s="7">
        <f>IF(OR(L314="",L314=0),"",1000/L314)</f>
        <v/>
      </c>
      <c r="L314" s="8" t="n">
        <v>1.852</v>
      </c>
      <c r="M314" s="4" t="n"/>
      <c r="N314" s="9">
        <f>IFERROR(IF(P314&lt;&gt;"",IF(INDEX($P$2:$P$417,MATCH($M314,$A$2:$A$417,0))="","",P314-INDEX($P$2:$P$417,MATCH($M314,$A$2:$A$417,0))),IF(H314&lt;&gt;"",IF(INDEX($H$2:$H$417,MATCH($M314,$A$2:$A$417,0))="","",H314-INDEX($H$2:$H$417,MATCH($M314,$A$2:$A$417,0))),IF(O314&lt;&gt;"",IF(INDEX($O$2:$O$417,MATCH($M314,$A$2:$A$417,0))="","",O314-INDEX($O$2:$O$417,MATCH($M314,$A$2:$A$417,0))),IF(Q314&lt;&gt;"",IF(INDEX($Q$2:$Q$417,MATCH($M314,$A$2:$A$417,0))="","",Q314-INDEX($Q$2:$Q$417,MATCH($M314,$A$2:$A$417,0))),"")))),"")</f>
        <v/>
      </c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10" t="n"/>
      <c r="Z314" s="10" t="n"/>
      <c r="AA314" s="6" t="n"/>
      <c r="AB314" s="11" t="inlineStr">
        <is>
          <t>the same model on a corpus the .docx extraction cannot affect</t>
        </is>
      </c>
      <c r="AC314" s="11" t="n"/>
    </row>
    <row r="315" ht="28" customHeight="1">
      <c r="A315" s="12" t="inlineStr">
        <is>
          <t>R4.6</t>
        </is>
      </c>
      <c r="B315" s="13" t="n">
        <v>46254</v>
      </c>
      <c r="C315" s="12" t="inlineStr">
        <is>
          <t>sensitive</t>
        </is>
      </c>
      <c r="D315" s="12" t="inlineStr">
        <is>
          <t>gated-v3 retrained [with_headers]</t>
        </is>
      </c>
      <c r="E315" s="12" t="inlineStr">
        <is>
          <t>datax_eval_hf</t>
        </is>
      </c>
      <c r="F315" s="14" t="inlineStr">
        <is>
          <t>T1</t>
        </is>
      </c>
      <c r="G315" s="15" t="n">
        <v>20000</v>
      </c>
      <c r="H315" s="16" t="n">
        <v>0.8024861878453039</v>
      </c>
      <c r="I315" s="16" t="n">
        <v>0.7803867403314917</v>
      </c>
      <c r="J315" s="16" t="n">
        <v>0.7030386740331492</v>
      </c>
      <c r="K315" s="17">
        <f>IF(OR(L315="",L315=0),"",1000/L315)</f>
        <v/>
      </c>
      <c r="L315" s="18" t="n">
        <v>1.852</v>
      </c>
      <c r="M315" s="14" t="inlineStr">
        <is>
          <t>R4.4</t>
        </is>
      </c>
      <c r="N315" s="19">
        <f>IFERROR(IF(P315&lt;&gt;"",IF(INDEX($P$2:$P$417,MATCH($M315,$A$2:$A$417,0))="","",P315-INDEX($P$2:$P$417,MATCH($M315,$A$2:$A$417,0))),IF(H315&lt;&gt;"",IF(INDEX($H$2:$H$417,MATCH($M315,$A$2:$A$417,0))="","",H315-INDEX($H$2:$H$417,MATCH($M315,$A$2:$A$417,0))),IF(O315&lt;&gt;"",IF(INDEX($O$2:$O$417,MATCH($M315,$A$2:$A$417,0))="","",O315-INDEX($O$2:$O$417,MATCH($M315,$A$2:$A$417,0))),IF(Q315&lt;&gt;"",IF(INDEX($Q$2:$Q$417,MATCH($M315,$A$2:$A$417,0))="","",Q315-INDEX($Q$2:$Q$417,MATCH($M315,$A$2:$A$417,0))),"")))),"")</f>
        <v/>
      </c>
      <c r="O315" s="16" t="n"/>
      <c r="P315" s="16" t="n"/>
      <c r="Q315" s="16" t="n"/>
      <c r="R315" s="16" t="n"/>
      <c r="S315" s="16" t="n"/>
      <c r="T315" s="16" t="n"/>
      <c r="U315" s="16" t="n"/>
      <c r="V315" s="16" t="n"/>
      <c r="W315" s="16" t="n"/>
      <c r="X315" s="16" t="n"/>
      <c r="Y315" s="20" t="n"/>
      <c r="Z315" s="20" t="n"/>
      <c r="AA315" s="16" t="n"/>
      <c r="AB315" s="21" t="inlineStr">
        <is>
          <t>trained and evaluated on the headers-included .docx extraction; gate threshold 0.4</t>
        </is>
      </c>
      <c r="AC315" s="21" t="n"/>
    </row>
    <row r="316" ht="28" customHeight="1">
      <c r="A316" s="2" t="inlineStr">
        <is>
          <t>R4.7</t>
        </is>
      </c>
      <c r="B316" s="3" t="n">
        <v>46254</v>
      </c>
      <c r="C316" s="2" t="inlineStr">
        <is>
          <t>sensitive</t>
        </is>
      </c>
      <c r="D316" s="2" t="inlineStr">
        <is>
          <t>gated-v3 retrained [with_headers]</t>
        </is>
      </c>
      <c r="E316" s="2" t="inlineStr">
        <is>
          <t>holdout20k</t>
        </is>
      </c>
      <c r="F316" s="4" t="inlineStr">
        <is>
          <t>T1</t>
        </is>
      </c>
      <c r="G316" s="5" t="n">
        <v>20000</v>
      </c>
      <c r="H316" s="6" t="n">
        <v>0.9847533177996149</v>
      </c>
      <c r="I316" s="6" t="n">
        <v>0.9826765272008916</v>
      </c>
      <c r="J316" s="6" t="n">
        <v>0.9647958666801743</v>
      </c>
      <c r="K316" s="7">
        <f>IF(OR(L316="",L316=0),"",1000/L316)</f>
        <v/>
      </c>
      <c r="L316" s="8" t="n">
        <v>1.852</v>
      </c>
      <c r="M316" s="4" t="n"/>
      <c r="N316" s="9">
        <f>IFERROR(IF(P316&lt;&gt;"",IF(INDEX($P$2:$P$417,MATCH($M316,$A$2:$A$417,0))="","",P316-INDEX($P$2:$P$417,MATCH($M316,$A$2:$A$417,0))),IF(H316&lt;&gt;"",IF(INDEX($H$2:$H$417,MATCH($M316,$A$2:$A$417,0))="","",H316-INDEX($H$2:$H$417,MATCH($M316,$A$2:$A$417,0))),IF(O316&lt;&gt;"",IF(INDEX($O$2:$O$417,MATCH($M316,$A$2:$A$417,0))="","",O316-INDEX($O$2:$O$417,MATCH($M316,$A$2:$A$417,0))),IF(Q316&lt;&gt;"",IF(INDEX($Q$2:$Q$417,MATCH($M316,$A$2:$A$417,0))="","",Q316-INDEX($Q$2:$Q$417,MATCH($M316,$A$2:$A$417,0))),"")))),"")</f>
        <v/>
      </c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10" t="n"/>
      <c r="Z316" s="10" t="n"/>
      <c r="AA316" s="6" t="n"/>
      <c r="AB316" s="11" t="inlineStr">
        <is>
          <t>the same model on a corpus the .docx extraction cannot affect</t>
        </is>
      </c>
      <c r="AC316" s="11" t="n"/>
    </row>
    <row r="317" ht="28" customHeight="1">
      <c r="A317" s="12" t="inlineStr">
        <is>
          <t>R5.1</t>
        </is>
      </c>
      <c r="B317" s="13" t="n">
        <v>46254</v>
      </c>
      <c r="C317" s="12" t="inlineStr">
        <is>
          <t>sensitive</t>
        </is>
      </c>
      <c r="D317" s="12" t="inlineStr">
        <is>
          <t>sensitive-pii-m2v-gated-v4</t>
        </is>
      </c>
      <c r="E317" s="12" t="inlineStr">
        <is>
          <t>datax_eval_hf</t>
        </is>
      </c>
      <c r="F317" s="14" t="inlineStr">
        <is>
          <t>T1</t>
        </is>
      </c>
      <c r="G317" s="15" t="n">
        <v>20000</v>
      </c>
      <c r="H317" s="16" t="n">
        <v>0.8</v>
      </c>
      <c r="I317" s="16" t="n">
        <v>0.7823853211009174</v>
      </c>
      <c r="J317" s="16" t="n">
        <v>0.7045871559633027</v>
      </c>
      <c r="K317" s="17">
        <f>IF(OR(L317="",L317=0),"",1000/L317)</f>
        <v/>
      </c>
      <c r="L317" s="18" t="n">
        <v>1.852</v>
      </c>
      <c r="M317" s="14" t="n"/>
      <c r="N317" s="19">
        <f>IFERROR(IF(P317&lt;&gt;"",IF(INDEX($P$2:$P$417,MATCH($M317,$A$2:$A$417,0))="","",P317-INDEX($P$2:$P$417,MATCH($M317,$A$2:$A$417,0))),IF(H317&lt;&gt;"",IF(INDEX($H$2:$H$417,MATCH($M317,$A$2:$A$417,0))="","",H317-INDEX($H$2:$H$417,MATCH($M317,$A$2:$A$417,0))),IF(O317&lt;&gt;"",IF(INDEX($O$2:$O$417,MATCH($M317,$A$2:$A$417,0))="","",O317-INDEX($O$2:$O$417,MATCH($M317,$A$2:$A$417,0))),IF(Q317&lt;&gt;"",IF(INDEX($Q$2:$Q$417,MATCH($M317,$A$2:$A$417,0))="","",Q317-INDEX($Q$2:$Q$417,MATCH($M317,$A$2:$A$417,0))),"")))),"")</f>
        <v/>
      </c>
      <c r="O317" s="16" t="n"/>
      <c r="P317" s="16" t="n"/>
      <c r="Q317" s="16" t="n"/>
      <c r="R317" s="16" t="n"/>
      <c r="S317" s="16" t="n"/>
      <c r="T317" s="16" t="n"/>
      <c r="U317" s="16" t="n"/>
      <c r="V317" s="16" t="n"/>
      <c r="W317" s="16" t="n"/>
      <c r="X317" s="16" t="n"/>
      <c r="Y317" s="20" t="n"/>
      <c r="Z317" s="20" t="n"/>
      <c r="AA317" s="16" t="n"/>
      <c r="AB317" s="21" t="inlineStr">
        <is>
          <t>the shipped champion, on the same documents</t>
        </is>
      </c>
      <c r="AC317" s="21" t="n"/>
    </row>
    <row r="318" ht="28" customHeight="1">
      <c r="A318" s="2" t="inlineStr">
        <is>
          <t>R5.2</t>
        </is>
      </c>
      <c r="B318" s="3" t="n">
        <v>46254</v>
      </c>
      <c r="C318" s="2" t="inlineStr">
        <is>
          <t>sensitive</t>
        </is>
      </c>
      <c r="D318" s="2" t="inlineStr">
        <is>
          <t>sensitive-pii-m2v-gated-v4</t>
        </is>
      </c>
      <c r="E318" s="2" t="inlineStr">
        <is>
          <t>govdocs2_eval20</t>
        </is>
      </c>
      <c r="F318" s="4" t="inlineStr">
        <is>
          <t>T1</t>
        </is>
      </c>
      <c r="G318" s="5" t="n">
        <v>20000</v>
      </c>
      <c r="H318" s="6" t="n">
        <v>0.8088379705400983</v>
      </c>
      <c r="I318" s="6" t="n">
        <v>0.8039279869067103</v>
      </c>
      <c r="J318" s="6" t="n">
        <v>0.7777414075286415</v>
      </c>
      <c r="K318" s="7">
        <f>IF(OR(L318="",L318=0),"",1000/L318)</f>
        <v/>
      </c>
      <c r="L318" s="8" t="n">
        <v>1.852</v>
      </c>
      <c r="M318" s="4" t="n"/>
      <c r="N318" s="9">
        <f>IFERROR(IF(P318&lt;&gt;"",IF(INDEX($P$2:$P$417,MATCH($M318,$A$2:$A$417,0))="","",P318-INDEX($P$2:$P$417,MATCH($M318,$A$2:$A$417,0))),IF(H318&lt;&gt;"",IF(INDEX($H$2:$H$417,MATCH($M318,$A$2:$A$417,0))="","",H318-INDEX($H$2:$H$417,MATCH($M318,$A$2:$A$417,0))),IF(O318&lt;&gt;"",IF(INDEX($O$2:$O$417,MATCH($M318,$A$2:$A$417,0))="","",O318-INDEX($O$2:$O$417,MATCH($M318,$A$2:$A$417,0))),IF(Q318&lt;&gt;"",IF(INDEX($Q$2:$Q$417,MATCH($M318,$A$2:$A$417,0))="","",Q318-INDEX($Q$2:$Q$417,MATCH($M318,$A$2:$A$417,0))),"")))),"")</f>
        <v/>
      </c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10" t="n"/>
      <c r="Z318" s="10" t="n"/>
      <c r="AA318" s="6" t="n"/>
      <c r="AB318" s="11" t="inlineStr">
        <is>
          <t>the shipped champion, on the same documents</t>
        </is>
      </c>
      <c r="AC318" s="11" t="n"/>
    </row>
    <row r="319" ht="28" customHeight="1">
      <c r="A319" s="12" t="inlineStr">
        <is>
          <t>R5.3</t>
        </is>
      </c>
      <c r="B319" s="13" t="n">
        <v>46254</v>
      </c>
      <c r="C319" s="12" t="inlineStr">
        <is>
          <t>sensitive</t>
        </is>
      </c>
      <c r="D319" s="12" t="inlineStr">
        <is>
          <t>sensitive-pii-m2v-gated-v4</t>
        </is>
      </c>
      <c r="E319" s="12" t="inlineStr">
        <is>
          <t>holdout20k</t>
        </is>
      </c>
      <c r="F319" s="14" t="inlineStr">
        <is>
          <t>T1</t>
        </is>
      </c>
      <c r="G319" s="15" t="n">
        <v>20000</v>
      </c>
      <c r="H319" s="16" t="n">
        <v>0.979657305802378</v>
      </c>
      <c r="I319" s="16" t="n">
        <v>0.9775695699773405</v>
      </c>
      <c r="J319" s="16" t="n">
        <v>0.9611222853069227</v>
      </c>
      <c r="K319" s="17">
        <f>IF(OR(L319="",L319=0),"",1000/L319)</f>
        <v/>
      </c>
      <c r="L319" s="18" t="n">
        <v>1.852</v>
      </c>
      <c r="M319" s="14" t="n"/>
      <c r="N319" s="19">
        <f>IFERROR(IF(P319&lt;&gt;"",IF(INDEX($P$2:$P$417,MATCH($M319,$A$2:$A$417,0))="","",P319-INDEX($P$2:$P$417,MATCH($M319,$A$2:$A$417,0))),IF(H319&lt;&gt;"",IF(INDEX($H$2:$H$417,MATCH($M319,$A$2:$A$417,0))="","",H319-INDEX($H$2:$H$417,MATCH($M319,$A$2:$A$417,0))),IF(O319&lt;&gt;"",IF(INDEX($O$2:$O$417,MATCH($M319,$A$2:$A$417,0))="","",O319-INDEX($O$2:$O$417,MATCH($M319,$A$2:$A$417,0))),IF(Q319&lt;&gt;"",IF(INDEX($Q$2:$Q$417,MATCH($M319,$A$2:$A$417,0))="","",Q319-INDEX($Q$2:$Q$417,MATCH($M319,$A$2:$A$417,0))),"")))),"")</f>
        <v/>
      </c>
      <c r="O319" s="16" t="n"/>
      <c r="P319" s="16" t="n"/>
      <c r="Q319" s="16" t="n"/>
      <c r="R319" s="16" t="n"/>
      <c r="S319" s="16" t="n"/>
      <c r="T319" s="16" t="n"/>
      <c r="U319" s="16" t="n"/>
      <c r="V319" s="16" t="n"/>
      <c r="W319" s="16" t="n"/>
      <c r="X319" s="16" t="n"/>
      <c r="Y319" s="20" t="n"/>
      <c r="Z319" s="20" t="n"/>
      <c r="AA319" s="16" t="n"/>
      <c r="AB319" s="21" t="inlineStr">
        <is>
          <t>the shipped champion, on the same documents</t>
        </is>
      </c>
      <c r="AC319" s="21" t="n"/>
    </row>
    <row r="320" ht="28" customHeight="1">
      <c r="A320" s="2" t="inlineStr">
        <is>
          <t>R5.4</t>
        </is>
      </c>
      <c r="B320" s="3" t="n">
        <v>46254</v>
      </c>
      <c r="C320" s="2" t="inlineStr">
        <is>
          <t>sensitive</t>
        </is>
      </c>
      <c r="D320" s="2" t="inlineStr">
        <is>
          <t>sensitive-pii-m2v-gated-v4</t>
        </is>
      </c>
      <c r="E320" s="2" t="inlineStr">
        <is>
          <t>pii2_eval</t>
        </is>
      </c>
      <c r="F320" s="4" t="inlineStr">
        <is>
          <t>T1</t>
        </is>
      </c>
      <c r="G320" s="5" t="n">
        <v>20000</v>
      </c>
      <c r="H320" s="6" t="n">
        <v>0.95369918699187</v>
      </c>
      <c r="I320" s="6" t="n">
        <v>0.9289837398373983</v>
      </c>
      <c r="J320" s="6" t="n">
        <v>0.6600813008130081</v>
      </c>
      <c r="K320" s="7">
        <f>IF(OR(L320="",L320=0),"",1000/L320)</f>
        <v/>
      </c>
      <c r="L320" s="8" t="n">
        <v>1.852</v>
      </c>
      <c r="M320" s="4" t="n"/>
      <c r="N320" s="9">
        <f>IFERROR(IF(P320&lt;&gt;"",IF(INDEX($P$2:$P$417,MATCH($M320,$A$2:$A$417,0))="","",P320-INDEX($P$2:$P$417,MATCH($M320,$A$2:$A$417,0))),IF(H320&lt;&gt;"",IF(INDEX($H$2:$H$417,MATCH($M320,$A$2:$A$417,0))="","",H320-INDEX($H$2:$H$417,MATCH($M320,$A$2:$A$417,0))),IF(O320&lt;&gt;"",IF(INDEX($O$2:$O$417,MATCH($M320,$A$2:$A$417,0))="","",O320-INDEX($O$2:$O$417,MATCH($M320,$A$2:$A$417,0))),IF(Q320&lt;&gt;"",IF(INDEX($Q$2:$Q$417,MATCH($M320,$A$2:$A$417,0))="","",Q320-INDEX($Q$2:$Q$417,MATCH($M320,$A$2:$A$417,0))),"")))),"")</f>
        <v/>
      </c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10" t="n"/>
      <c r="Z320" s="10" t="n"/>
      <c r="AA320" s="6" t="n"/>
      <c r="AB320" s="11" t="inlineStr">
        <is>
          <t>the shipped champion, on the same documents</t>
        </is>
      </c>
      <c r="AC320" s="11" t="n"/>
    </row>
    <row r="321" ht="28" customHeight="1">
      <c r="A321" s="12" t="inlineStr">
        <is>
          <t>R5.5</t>
        </is>
      </c>
      <c r="B321" s="13" t="n">
        <v>46254</v>
      </c>
      <c r="C321" s="12" t="inlineStr">
        <is>
          <t>sensitive</t>
        </is>
      </c>
      <c r="D321" s="12" t="inlineStr">
        <is>
          <t>sensitive-pii-m2v-v5</t>
        </is>
      </c>
      <c r="E321" s="12" t="inlineStr">
        <is>
          <t>datax_eval_hf</t>
        </is>
      </c>
      <c r="F321" s="14" t="inlineStr">
        <is>
          <t>T1</t>
        </is>
      </c>
      <c r="G321" s="15" t="n">
        <v>20000</v>
      </c>
      <c r="H321" s="16" t="n">
        <v>0.7741293532338308</v>
      </c>
      <c r="I321" s="16" t="n">
        <v>0.7588723051409618</v>
      </c>
      <c r="J321" s="16" t="n">
        <v>0.7031509121061361</v>
      </c>
      <c r="K321" s="17" t="n"/>
      <c r="L321" s="18" t="n"/>
      <c r="M321" s="14" t="inlineStr">
        <is>
          <t>R5.1</t>
        </is>
      </c>
      <c r="N321" s="19">
        <f>IFERROR(IF(P321&lt;&gt;"",IF(INDEX($P$2:$P$417,MATCH($M321,$A$2:$A$417,0))="","",P321-INDEX($P$2:$P$417,MATCH($M321,$A$2:$A$417,0))),IF(H321&lt;&gt;"",IF(INDEX($H$2:$H$417,MATCH($M321,$A$2:$A$417,0))="","",H321-INDEX($H$2:$H$417,MATCH($M321,$A$2:$A$417,0))),IF(O321&lt;&gt;"",IF(INDEX($O$2:$O$417,MATCH($M321,$A$2:$A$417,0))="","",O321-INDEX($O$2:$O$417,MATCH($M321,$A$2:$A$417,0))),IF(Q321&lt;&gt;"",IF(INDEX($Q$2:$Q$417,MATCH($M321,$A$2:$A$417,0))="","",Q321-INDEX($Q$2:$Q$417,MATCH($M321,$A$2:$A$417,0))),"")))),"")</f>
        <v/>
      </c>
      <c r="O321" s="16" t="n"/>
      <c r="P321" s="16" t="n"/>
      <c r="Q321" s="16" t="n"/>
      <c r="R321" s="16" t="n"/>
      <c r="S321" s="16" t="n"/>
      <c r="T321" s="16" t="n"/>
      <c r="U321" s="16" t="n"/>
      <c r="V321" s="16" t="n"/>
      <c r="W321" s="16" t="n"/>
      <c r="X321" s="16" t="n"/>
      <c r="Y321" s="20" t="n"/>
      <c r="Z321" s="20" t="n"/>
      <c r="AA321" s="16" t="n"/>
      <c r="AB321" s="21" t="inlineStr">
        <is>
          <t>v5: trained on pii2_train_150k</t>
        </is>
      </c>
      <c r="AC321" s="21" t="n"/>
    </row>
    <row r="322" ht="28" customHeight="1">
      <c r="A322" s="2" t="inlineStr">
        <is>
          <t>R5.6</t>
        </is>
      </c>
      <c r="B322" s="3" t="n">
        <v>46254</v>
      </c>
      <c r="C322" s="2" t="inlineStr">
        <is>
          <t>sensitive</t>
        </is>
      </c>
      <c r="D322" s="2" t="inlineStr">
        <is>
          <t>sensitive-pii-m2v-v5</t>
        </is>
      </c>
      <c r="E322" s="2" t="inlineStr">
        <is>
          <t>govdocs2_eval20</t>
        </is>
      </c>
      <c r="F322" s="4" t="inlineStr">
        <is>
          <t>T1</t>
        </is>
      </c>
      <c r="G322" s="5" t="n">
        <v>20000</v>
      </c>
      <c r="H322" s="6" t="n">
        <v>0.7465040166617077</v>
      </c>
      <c r="I322" s="6" t="n">
        <v>0.7426361202023208</v>
      </c>
      <c r="J322" s="6" t="n">
        <v>0.7140731925022314</v>
      </c>
      <c r="K322" s="7" t="n"/>
      <c r="L322" s="8" t="n"/>
      <c r="M322" s="4" t="inlineStr">
        <is>
          <t>R5.2</t>
        </is>
      </c>
      <c r="N322" s="9">
        <f>IFERROR(IF(P322&lt;&gt;"",IF(INDEX($P$2:$P$417,MATCH($M322,$A$2:$A$417,0))="","",P322-INDEX($P$2:$P$417,MATCH($M322,$A$2:$A$417,0))),IF(H322&lt;&gt;"",IF(INDEX($H$2:$H$417,MATCH($M322,$A$2:$A$417,0))="","",H322-INDEX($H$2:$H$417,MATCH($M322,$A$2:$A$417,0))),IF(O322&lt;&gt;"",IF(INDEX($O$2:$O$417,MATCH($M322,$A$2:$A$417,0))="","",O322-INDEX($O$2:$O$417,MATCH($M322,$A$2:$A$417,0))),IF(Q322&lt;&gt;"",IF(INDEX($Q$2:$Q$417,MATCH($M322,$A$2:$A$417,0))="","",Q322-INDEX($Q$2:$Q$417,MATCH($M322,$A$2:$A$417,0))),"")))),"")</f>
        <v/>
      </c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10" t="n"/>
      <c r="Z322" s="10" t="n"/>
      <c r="AA322" s="6" t="n"/>
      <c r="AB322" s="11" t="inlineStr">
        <is>
          <t>v5: trained on pii2_train_150k</t>
        </is>
      </c>
      <c r="AC322" s="11" t="n"/>
    </row>
    <row r="323" ht="28" customHeight="1">
      <c r="A323" s="12" t="inlineStr">
        <is>
          <t>R5.7</t>
        </is>
      </c>
      <c r="B323" s="13" t="n">
        <v>46254</v>
      </c>
      <c r="C323" s="12" t="inlineStr">
        <is>
          <t>sensitive</t>
        </is>
      </c>
      <c r="D323" s="12" t="inlineStr">
        <is>
          <t>sensitive-pii-m2v-v5</t>
        </is>
      </c>
      <c r="E323" s="12" t="inlineStr">
        <is>
          <t>holdout20k</t>
        </is>
      </c>
      <c r="F323" s="14" t="inlineStr">
        <is>
          <t>T1</t>
        </is>
      </c>
      <c r="G323" s="15" t="n">
        <v>20000</v>
      </c>
      <c r="H323" s="16" t="n">
        <v>0.8913518494142426</v>
      </c>
      <c r="I323" s="16" t="n">
        <v>0.8848756087929446</v>
      </c>
      <c r="J323" s="16" t="n">
        <v>0.8296432802422009</v>
      </c>
      <c r="K323" s="17" t="n"/>
      <c r="L323" s="18" t="n"/>
      <c r="M323" s="14" t="inlineStr">
        <is>
          <t>R5.3</t>
        </is>
      </c>
      <c r="N323" s="19">
        <f>IFERROR(IF(P323&lt;&gt;"",IF(INDEX($P$2:$P$417,MATCH($M323,$A$2:$A$417,0))="","",P323-INDEX($P$2:$P$417,MATCH($M323,$A$2:$A$417,0))),IF(H323&lt;&gt;"",IF(INDEX($H$2:$H$417,MATCH($M323,$A$2:$A$417,0))="","",H323-INDEX($H$2:$H$417,MATCH($M323,$A$2:$A$417,0))),IF(O323&lt;&gt;"",IF(INDEX($O$2:$O$417,MATCH($M323,$A$2:$A$417,0))="","",O323-INDEX($O$2:$O$417,MATCH($M323,$A$2:$A$417,0))),IF(Q323&lt;&gt;"",IF(INDEX($Q$2:$Q$417,MATCH($M323,$A$2:$A$417,0))="","",Q323-INDEX($Q$2:$Q$417,MATCH($M323,$A$2:$A$417,0))),"")))),"")</f>
        <v/>
      </c>
      <c r="O323" s="16" t="n"/>
      <c r="P323" s="16" t="n"/>
      <c r="Q323" s="16" t="n"/>
      <c r="R323" s="16" t="n"/>
      <c r="S323" s="16" t="n"/>
      <c r="T323" s="16" t="n"/>
      <c r="U323" s="16" t="n"/>
      <c r="V323" s="16" t="n"/>
      <c r="W323" s="16" t="n"/>
      <c r="X323" s="16" t="n"/>
      <c r="Y323" s="20" t="n"/>
      <c r="Z323" s="20" t="n"/>
      <c r="AA323" s="16" t="n"/>
      <c r="AB323" s="21" t="inlineStr">
        <is>
          <t>v5: trained on pii2_train_150k</t>
        </is>
      </c>
      <c r="AC323" s="21" t="n"/>
    </row>
    <row r="324" ht="28" customHeight="1">
      <c r="A324" s="2" t="inlineStr">
        <is>
          <t>R5.8</t>
        </is>
      </c>
      <c r="B324" s="3" t="n">
        <v>46254</v>
      </c>
      <c r="C324" s="2" t="inlineStr">
        <is>
          <t>sensitive</t>
        </is>
      </c>
      <c r="D324" s="2" t="inlineStr">
        <is>
          <t>sensitive-pii-m2v-v5</t>
        </is>
      </c>
      <c r="E324" s="2" t="inlineStr">
        <is>
          <t>pii2_eval</t>
        </is>
      </c>
      <c r="F324" s="4" t="inlineStr">
        <is>
          <t>T1</t>
        </is>
      </c>
      <c r="G324" s="5" t="n">
        <v>20000</v>
      </c>
      <c r="H324" s="6" t="n">
        <v>0.9273087625873355</v>
      </c>
      <c r="I324" s="6" t="n">
        <v>0.9241456627494945</v>
      </c>
      <c r="J324" s="6" t="n">
        <v>0.894876979439851</v>
      </c>
      <c r="K324" s="7" t="n"/>
      <c r="L324" s="8" t="n"/>
      <c r="M324" s="4" t="inlineStr">
        <is>
          <t>R5.4</t>
        </is>
      </c>
      <c r="N324" s="9">
        <f>IFERROR(IF(P324&lt;&gt;"",IF(INDEX($P$2:$P$417,MATCH($M324,$A$2:$A$417,0))="","",P324-INDEX($P$2:$P$417,MATCH($M324,$A$2:$A$417,0))),IF(H324&lt;&gt;"",IF(INDEX($H$2:$H$417,MATCH($M324,$A$2:$A$417,0))="","",H324-INDEX($H$2:$H$417,MATCH($M324,$A$2:$A$417,0))),IF(O324&lt;&gt;"",IF(INDEX($O$2:$O$417,MATCH($M324,$A$2:$A$417,0))="","",O324-INDEX($O$2:$O$417,MATCH($M324,$A$2:$A$417,0))),IF(Q324&lt;&gt;"",IF(INDEX($Q$2:$Q$417,MATCH($M324,$A$2:$A$417,0))="","",Q324-INDEX($Q$2:$Q$417,MATCH($M324,$A$2:$A$417,0))),"")))),"")</f>
        <v/>
      </c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10" t="n"/>
      <c r="Z324" s="10" t="n"/>
      <c r="AA324" s="6" t="n"/>
      <c r="AB324" s="11" t="inlineStr">
        <is>
          <t>v5: trained on pii2_train_150k</t>
        </is>
      </c>
      <c r="AC324" s="11" t="n"/>
    </row>
    <row r="325" ht="28" customHeight="1">
      <c r="A325" s="12" t="inlineStr">
        <is>
          <t>R5.9</t>
        </is>
      </c>
      <c r="B325" s="13" t="n">
        <v>46254</v>
      </c>
      <c r="C325" s="12" t="inlineStr">
        <is>
          <t>sensitive</t>
        </is>
      </c>
      <c r="D325" s="12" t="inlineStr">
        <is>
          <t>sensitive-pii-m2v-v5 (gated)</t>
        </is>
      </c>
      <c r="E325" s="12" t="inlineStr">
        <is>
          <t>datax_eval_hf</t>
        </is>
      </c>
      <c r="F325" s="14" t="inlineStr">
        <is>
          <t>T1</t>
        </is>
      </c>
      <c r="G325" s="15" t="n">
        <v>20000</v>
      </c>
      <c r="H325" s="16" t="n">
        <v>0.7759562841530057</v>
      </c>
      <c r="I325" s="16" t="n">
        <v>0.752812600450016</v>
      </c>
      <c r="J325" s="16" t="n">
        <v>0.6808100289296047</v>
      </c>
      <c r="K325" s="17" t="n"/>
      <c r="L325" s="18" t="n"/>
      <c r="M325" s="14" t="inlineStr">
        <is>
          <t>R5.1</t>
        </is>
      </c>
      <c r="N325" s="19">
        <f>IFERROR(IF(P325&lt;&gt;"",IF(INDEX($P$2:$P$417,MATCH($M325,$A$2:$A$417,0))="","",P325-INDEX($P$2:$P$417,MATCH($M325,$A$2:$A$417,0))),IF(H325&lt;&gt;"",IF(INDEX($H$2:$H$417,MATCH($M325,$A$2:$A$417,0))="","",H325-INDEX($H$2:$H$417,MATCH($M325,$A$2:$A$417,0))),IF(O325&lt;&gt;"",IF(INDEX($O$2:$O$417,MATCH($M325,$A$2:$A$417,0))="","",O325-INDEX($O$2:$O$417,MATCH($M325,$A$2:$A$417,0))),IF(Q325&lt;&gt;"",IF(INDEX($Q$2:$Q$417,MATCH($M325,$A$2:$A$417,0))="","",Q325-INDEX($Q$2:$Q$417,MATCH($M325,$A$2:$A$417,0))),"")))),"")</f>
        <v/>
      </c>
      <c r="O325" s="16" t="n"/>
      <c r="P325" s="16" t="n"/>
      <c r="Q325" s="16" t="n"/>
      <c r="R325" s="16" t="n"/>
      <c r="S325" s="16" t="n"/>
      <c r="T325" s="16" t="n"/>
      <c r="U325" s="16" t="n"/>
      <c r="V325" s="16" t="n"/>
      <c r="W325" s="16" t="n"/>
      <c r="X325" s="16" t="n"/>
      <c r="Y325" s="20" t="n"/>
      <c r="Z325" s="20" t="n"/>
      <c r="AA325" s="16" t="n"/>
      <c r="AB325" s="21" t="inlineStr">
        <is>
          <t>sweep winner behind a gate trained on pii2_train; gate threshold 0.45</t>
        </is>
      </c>
      <c r="AC325" s="21" t="n"/>
    </row>
    <row r="326" ht="28" customHeight="1">
      <c r="A326" s="2" t="inlineStr">
        <is>
          <t>R5.10</t>
        </is>
      </c>
      <c r="B326" s="3" t="n">
        <v>46254</v>
      </c>
      <c r="C326" s="2" t="inlineStr">
        <is>
          <t>sensitive</t>
        </is>
      </c>
      <c r="D326" s="2" t="inlineStr">
        <is>
          <t>sensitive-pii-m2v-v5 (gated)</t>
        </is>
      </c>
      <c r="E326" s="2" t="inlineStr">
        <is>
          <t>govdocs2_eval20</t>
        </is>
      </c>
      <c r="F326" s="4" t="inlineStr">
        <is>
          <t>T1</t>
        </is>
      </c>
      <c r="G326" s="5" t="n">
        <v>20000</v>
      </c>
      <c r="H326" s="6" t="n">
        <v>0.7972560975609756</v>
      </c>
      <c r="I326" s="6" t="n">
        <v>0.7853658536585365</v>
      </c>
      <c r="J326" s="6" t="n">
        <v>0.7250000000000001</v>
      </c>
      <c r="K326" s="7" t="n"/>
      <c r="L326" s="8" t="n"/>
      <c r="M326" s="4" t="inlineStr">
        <is>
          <t>R5.2</t>
        </is>
      </c>
      <c r="N326" s="9">
        <f>IFERROR(IF(P326&lt;&gt;"",IF(INDEX($P$2:$P$417,MATCH($M326,$A$2:$A$417,0))="","",P326-INDEX($P$2:$P$417,MATCH($M326,$A$2:$A$417,0))),IF(H326&lt;&gt;"",IF(INDEX($H$2:$H$417,MATCH($M326,$A$2:$A$417,0))="","",H326-INDEX($H$2:$H$417,MATCH($M326,$A$2:$A$417,0))),IF(O326&lt;&gt;"",IF(INDEX($O$2:$O$417,MATCH($M326,$A$2:$A$417,0))="","",O326-INDEX($O$2:$O$417,MATCH($M326,$A$2:$A$417,0))),IF(Q326&lt;&gt;"",IF(INDEX($Q$2:$Q$417,MATCH($M326,$A$2:$A$417,0))="","",Q326-INDEX($Q$2:$Q$417,MATCH($M326,$A$2:$A$417,0))),"")))),"")</f>
        <v/>
      </c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10" t="n"/>
      <c r="Z326" s="10" t="n"/>
      <c r="AA326" s="6" t="n"/>
      <c r="AB326" s="11" t="inlineStr">
        <is>
          <t>sweep winner behind a gate trained on pii2_train; gate threshold 0.45</t>
        </is>
      </c>
      <c r="AC326" s="11" t="n"/>
    </row>
    <row r="327" ht="28" customHeight="1">
      <c r="A327" s="12" t="inlineStr">
        <is>
          <t>R5.11</t>
        </is>
      </c>
      <c r="B327" s="13" t="n">
        <v>46254</v>
      </c>
      <c r="C327" s="12" t="inlineStr">
        <is>
          <t>sensitive</t>
        </is>
      </c>
      <c r="D327" s="12" t="inlineStr">
        <is>
          <t>sensitive-pii-m2v-v5 (gated)</t>
        </is>
      </c>
      <c r="E327" s="12" t="inlineStr">
        <is>
          <t>holdout20k</t>
        </is>
      </c>
      <c r="F327" s="14" t="inlineStr">
        <is>
          <t>T1</t>
        </is>
      </c>
      <c r="G327" s="15" t="n">
        <v>20000</v>
      </c>
      <c r="H327" s="16" t="n">
        <v>0.9315715694927574</v>
      </c>
      <c r="I327" s="16" t="n">
        <v>0.909973521624007</v>
      </c>
      <c r="J327" s="16" t="n">
        <v>0.8256061471367012</v>
      </c>
      <c r="K327" s="17" t="n"/>
      <c r="L327" s="18" t="n"/>
      <c r="M327" s="14" t="inlineStr">
        <is>
          <t>R5.3</t>
        </is>
      </c>
      <c r="N327" s="19">
        <f>IFERROR(IF(P327&lt;&gt;"",IF(INDEX($P$2:$P$417,MATCH($M327,$A$2:$A$417,0))="","",P327-INDEX($P$2:$P$417,MATCH($M327,$A$2:$A$417,0))),IF(H327&lt;&gt;"",IF(INDEX($H$2:$H$417,MATCH($M327,$A$2:$A$417,0))="","",H327-INDEX($H$2:$H$417,MATCH($M327,$A$2:$A$417,0))),IF(O327&lt;&gt;"",IF(INDEX($O$2:$O$417,MATCH($M327,$A$2:$A$417,0))="","",O327-INDEX($O$2:$O$417,MATCH($M327,$A$2:$A$417,0))),IF(Q327&lt;&gt;"",IF(INDEX($Q$2:$Q$417,MATCH($M327,$A$2:$A$417,0))="","",Q327-INDEX($Q$2:$Q$417,MATCH($M327,$A$2:$A$417,0))),"")))),"")</f>
        <v/>
      </c>
      <c r="O327" s="16" t="n"/>
      <c r="P327" s="16" t="n"/>
      <c r="Q327" s="16" t="n"/>
      <c r="R327" s="16" t="n"/>
      <c r="S327" s="16" t="n"/>
      <c r="T327" s="16" t="n"/>
      <c r="U327" s="16" t="n"/>
      <c r="V327" s="16" t="n"/>
      <c r="W327" s="16" t="n"/>
      <c r="X327" s="16" t="n"/>
      <c r="Y327" s="20" t="n"/>
      <c r="Z327" s="20" t="n"/>
      <c r="AA327" s="16" t="n"/>
      <c r="AB327" s="21" t="inlineStr">
        <is>
          <t>sweep winner behind a gate trained on pii2_train; gate threshold 0.45</t>
        </is>
      </c>
      <c r="AC327" s="21" t="n"/>
    </row>
    <row r="328" ht="28" customHeight="1">
      <c r="A328" s="2" t="inlineStr">
        <is>
          <t>R5.12</t>
        </is>
      </c>
      <c r="B328" s="3" t="n">
        <v>46254</v>
      </c>
      <c r="C328" s="2" t="inlineStr">
        <is>
          <t>sensitive</t>
        </is>
      </c>
      <c r="D328" s="2" t="inlineStr">
        <is>
          <t>sensitive-pii-m2v-v5 (gated)</t>
        </is>
      </c>
      <c r="E328" s="2" t="inlineStr">
        <is>
          <t>pii2_eval</t>
        </is>
      </c>
      <c r="F328" s="4" t="inlineStr">
        <is>
          <t>T1</t>
        </is>
      </c>
      <c r="G328" s="5" t="n">
        <v>20000</v>
      </c>
      <c r="H328" s="6" t="n">
        <v>0.9566029487739935</v>
      </c>
      <c r="I328" s="6" t="n">
        <v>0.9419385605849858</v>
      </c>
      <c r="J328" s="6" t="n">
        <v>0.8939713070778523</v>
      </c>
      <c r="K328" s="7" t="n"/>
      <c r="L328" s="8" t="n"/>
      <c r="M328" s="4" t="inlineStr">
        <is>
          <t>R5.4</t>
        </is>
      </c>
      <c r="N328" s="9">
        <f>IFERROR(IF(P328&lt;&gt;"",IF(INDEX($P$2:$P$417,MATCH($M328,$A$2:$A$417,0))="","",P328-INDEX($P$2:$P$417,MATCH($M328,$A$2:$A$417,0))),IF(H328&lt;&gt;"",IF(INDEX($H$2:$H$417,MATCH($M328,$A$2:$A$417,0))="","",H328-INDEX($H$2:$H$417,MATCH($M328,$A$2:$A$417,0))),IF(O328&lt;&gt;"",IF(INDEX($O$2:$O$417,MATCH($M328,$A$2:$A$417,0))="","",O328-INDEX($O$2:$O$417,MATCH($M328,$A$2:$A$417,0))),IF(Q328&lt;&gt;"",IF(INDEX($Q$2:$Q$417,MATCH($M328,$A$2:$A$417,0))="","",Q328-INDEX($Q$2:$Q$417,MATCH($M328,$A$2:$A$417,0))),"")))),"")</f>
        <v/>
      </c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10" t="n"/>
      <c r="Z328" s="10" t="n"/>
      <c r="AA328" s="6" t="n"/>
      <c r="AB328" s="11" t="inlineStr">
        <is>
          <t>sweep winner behind a gate trained on pii2_train; gate threshold 0.45</t>
        </is>
      </c>
      <c r="AC328" s="11" t="n"/>
    </row>
    <row r="329" ht="28" customHeight="1">
      <c r="A329" s="12" t="inlineStr">
        <is>
          <t>R6.1</t>
        </is>
      </c>
      <c r="B329" s="13" t="n">
        <v>46255</v>
      </c>
      <c r="C329" s="12" t="inlineStr">
        <is>
          <t>sensitive</t>
        </is>
      </c>
      <c r="D329" s="12" t="inlineStr">
        <is>
          <t>sensitive-pii-m2v-v6 (gate+tagger swept together)</t>
        </is>
      </c>
      <c r="E329" s="12" t="inlineStr">
        <is>
          <t>datax_eval_hf</t>
        </is>
      </c>
      <c r="F329" s="14" t="inlineStr">
        <is>
          <t>T1</t>
        </is>
      </c>
      <c r="G329" s="15" t="n">
        <v>20000</v>
      </c>
      <c r="H329" s="16" t="n">
        <v>0.7842087654734025</v>
      </c>
      <c r="I329" s="16" t="n">
        <v>0.7694881231180997</v>
      </c>
      <c r="J329" s="16" t="n">
        <v>0.687186349949816</v>
      </c>
      <c r="K329" s="17" t="n"/>
      <c r="L329" s="18" t="n"/>
      <c r="M329" s="14" t="inlineStr">
        <is>
          <t>sensitive-pii-m2v-gated-v4</t>
        </is>
      </c>
      <c r="N329" s="19">
        <f>IFERROR(IF(P329&lt;&gt;"",IF(INDEX($P$2:$P$417,MATCH($M329,$A$2:$A$417,0))="","",P329-INDEX($P$2:$P$417,MATCH($M329,$A$2:$A$417,0))),IF(H329&lt;&gt;"",IF(INDEX($H$2:$H$417,MATCH($M329,$A$2:$A$417,0))="","",H329-INDEX($H$2:$H$417,MATCH($M329,$A$2:$A$417,0))),IF(O329&lt;&gt;"",IF(INDEX($O$2:$O$417,MATCH($M329,$A$2:$A$417,0))="","",O329-INDEX($O$2:$O$417,MATCH($M329,$A$2:$A$417,0))),IF(Q329&lt;&gt;"",IF(INDEX($Q$2:$Q$417,MATCH($M329,$A$2:$A$417,0))="","",Q329-INDEX($Q$2:$Q$417,MATCH($M329,$A$2:$A$417,0))),"")))),"")</f>
        <v/>
      </c>
      <c r="O329" s="16" t="n"/>
      <c r="P329" s="16" t="n"/>
      <c r="Q329" s="16" t="n"/>
      <c r="R329" s="16" t="n"/>
      <c r="S329" s="16" t="n"/>
      <c r="T329" s="16" t="n"/>
      <c r="U329" s="16" t="n"/>
      <c r="V329" s="16" t="n"/>
      <c r="W329" s="16" t="n"/>
      <c r="X329" s="16" t="n"/>
      <c r="Y329" s="20" t="n"/>
      <c r="Z329" s="20" t="n"/>
      <c r="AA329" s="16" t="n"/>
      <c r="AB329" s="21" t="inlineStr">
        <is>
          <t>gate and tagger swept jointly against the cascaded objective; gate threshold 0.5</t>
        </is>
      </c>
      <c r="AC329" s="21" t="n"/>
    </row>
    <row r="330" ht="28" customHeight="1">
      <c r="A330" s="2" t="inlineStr">
        <is>
          <t>R6.2</t>
        </is>
      </c>
      <c r="B330" s="3" t="n">
        <v>46255</v>
      </c>
      <c r="C330" s="2" t="inlineStr">
        <is>
          <t>sensitive</t>
        </is>
      </c>
      <c r="D330" s="2" t="inlineStr">
        <is>
          <t>sensitive-pii-m2v-v6 (gate+tagger swept together)</t>
        </is>
      </c>
      <c r="E330" s="2" t="inlineStr">
        <is>
          <t>govdocs2_eval20</t>
        </is>
      </c>
      <c r="F330" s="4" t="inlineStr">
        <is>
          <t>T1</t>
        </is>
      </c>
      <c r="G330" s="5" t="n">
        <v>20000</v>
      </c>
      <c r="H330" s="6" t="n">
        <v>0.8008870584508158</v>
      </c>
      <c r="I330" s="6" t="n">
        <v>0.7913828607635039</v>
      </c>
      <c r="J330" s="6" t="n">
        <v>0.7381593537145571</v>
      </c>
      <c r="K330" s="7" t="n"/>
      <c r="L330" s="8" t="n"/>
      <c r="M330" s="4" t="inlineStr">
        <is>
          <t>sensitive-pii-m2v-gated-v4</t>
        </is>
      </c>
      <c r="N330" s="9">
        <f>IFERROR(IF(P330&lt;&gt;"",IF(INDEX($P$2:$P$417,MATCH($M330,$A$2:$A$417,0))="","",P330-INDEX($P$2:$P$417,MATCH($M330,$A$2:$A$417,0))),IF(H330&lt;&gt;"",IF(INDEX($H$2:$H$417,MATCH($M330,$A$2:$A$417,0))="","",H330-INDEX($H$2:$H$417,MATCH($M330,$A$2:$A$417,0))),IF(O330&lt;&gt;"",IF(INDEX($O$2:$O$417,MATCH($M330,$A$2:$A$417,0))="","",O330-INDEX($O$2:$O$417,MATCH($M330,$A$2:$A$417,0))),IF(Q330&lt;&gt;"",IF(INDEX($Q$2:$Q$417,MATCH($M330,$A$2:$A$417,0))="","",Q330-INDEX($Q$2:$Q$417,MATCH($M330,$A$2:$A$417,0))),"")))),"")</f>
        <v/>
      </c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10" t="n"/>
      <c r="Z330" s="10" t="n"/>
      <c r="AA330" s="6" t="n"/>
      <c r="AB330" s="11" t="inlineStr">
        <is>
          <t>gate and tagger swept jointly against the cascaded objective; gate threshold 0.5</t>
        </is>
      </c>
      <c r="AC330" s="11" t="n"/>
    </row>
    <row r="331" ht="28" customHeight="1">
      <c r="A331" s="12" t="inlineStr">
        <is>
          <t>R6.3</t>
        </is>
      </c>
      <c r="B331" s="13" t="n">
        <v>46255</v>
      </c>
      <c r="C331" s="12" t="inlineStr">
        <is>
          <t>sensitive</t>
        </is>
      </c>
      <c r="D331" s="12" t="inlineStr">
        <is>
          <t>sensitive-pii-m2v-v6 (gate+tagger swept together)</t>
        </is>
      </c>
      <c r="E331" s="12" t="inlineStr">
        <is>
          <t>holdout20k</t>
        </is>
      </c>
      <c r="F331" s="14" t="inlineStr">
        <is>
          <t>T1</t>
        </is>
      </c>
      <c r="G331" s="15" t="n">
        <v>20000</v>
      </c>
      <c r="H331" s="16" t="n">
        <v>0.9223170184104176</v>
      </c>
      <c r="I331" s="16" t="n">
        <v>0.9041443249953776</v>
      </c>
      <c r="J331" s="16" t="n">
        <v>0.836736311048892</v>
      </c>
      <c r="K331" s="17" t="n"/>
      <c r="L331" s="18" t="n"/>
      <c r="M331" s="14" t="inlineStr">
        <is>
          <t>sensitive-pii-m2v-gated-v4</t>
        </is>
      </c>
      <c r="N331" s="19">
        <f>IFERROR(IF(P331&lt;&gt;"",IF(INDEX($P$2:$P$417,MATCH($M331,$A$2:$A$417,0))="","",P331-INDEX($P$2:$P$417,MATCH($M331,$A$2:$A$417,0))),IF(H331&lt;&gt;"",IF(INDEX($H$2:$H$417,MATCH($M331,$A$2:$A$417,0))="","",H331-INDEX($H$2:$H$417,MATCH($M331,$A$2:$A$417,0))),IF(O331&lt;&gt;"",IF(INDEX($O$2:$O$417,MATCH($M331,$A$2:$A$417,0))="","",O331-INDEX($O$2:$O$417,MATCH($M331,$A$2:$A$417,0))),IF(Q331&lt;&gt;"",IF(INDEX($Q$2:$Q$417,MATCH($M331,$A$2:$A$417,0))="","",Q331-INDEX($Q$2:$Q$417,MATCH($M331,$A$2:$A$417,0))),"")))),"")</f>
        <v/>
      </c>
      <c r="O331" s="16" t="n"/>
      <c r="P331" s="16" t="n"/>
      <c r="Q331" s="16" t="n"/>
      <c r="R331" s="16" t="n"/>
      <c r="S331" s="16" t="n"/>
      <c r="T331" s="16" t="n"/>
      <c r="U331" s="16" t="n"/>
      <c r="V331" s="16" t="n"/>
      <c r="W331" s="16" t="n"/>
      <c r="X331" s="16" t="n"/>
      <c r="Y331" s="20" t="n"/>
      <c r="Z331" s="20" t="n"/>
      <c r="AA331" s="16" t="n"/>
      <c r="AB331" s="21" t="inlineStr">
        <is>
          <t>gate and tagger swept jointly against the cascaded objective; gate threshold 0.5</t>
        </is>
      </c>
      <c r="AC331" s="21" t="n"/>
    </row>
    <row r="332" ht="28" customHeight="1">
      <c r="A332" s="2" t="inlineStr">
        <is>
          <t>R6.4</t>
        </is>
      </c>
      <c r="B332" s="3" t="n">
        <v>46255</v>
      </c>
      <c r="C332" s="2" t="inlineStr">
        <is>
          <t>sensitive</t>
        </is>
      </c>
      <c r="D332" s="2" t="inlineStr">
        <is>
          <t>sensitive-pii-m2v-v6 (gate+tagger swept together)</t>
        </is>
      </c>
      <c r="E332" s="2" t="inlineStr">
        <is>
          <t>pii2_eval</t>
        </is>
      </c>
      <c r="F332" s="4" t="inlineStr">
        <is>
          <t>T1</t>
        </is>
      </c>
      <c r="G332" s="5" t="n">
        <v>20000</v>
      </c>
      <c r="H332" s="6" t="n">
        <v>0.9592490292622393</v>
      </c>
      <c r="I332" s="6" t="n">
        <v>0.9449581682078378</v>
      </c>
      <c r="J332" s="6" t="n">
        <v>0.9033265281614026</v>
      </c>
      <c r="K332" s="7" t="n"/>
      <c r="L332" s="8" t="n"/>
      <c r="M332" s="4" t="inlineStr">
        <is>
          <t>sensitive-pii-m2v-gated-v4</t>
        </is>
      </c>
      <c r="N332" s="9">
        <f>IFERROR(IF(P332&lt;&gt;"",IF(INDEX($P$2:$P$417,MATCH($M332,$A$2:$A$417,0))="","",P332-INDEX($P$2:$P$417,MATCH($M332,$A$2:$A$417,0))),IF(H332&lt;&gt;"",IF(INDEX($H$2:$H$417,MATCH($M332,$A$2:$A$417,0))="","",H332-INDEX($H$2:$H$417,MATCH($M332,$A$2:$A$417,0))),IF(O332&lt;&gt;"",IF(INDEX($O$2:$O$417,MATCH($M332,$A$2:$A$417,0))="","",O332-INDEX($O$2:$O$417,MATCH($M332,$A$2:$A$417,0))),IF(Q332&lt;&gt;"",IF(INDEX($Q$2:$Q$417,MATCH($M332,$A$2:$A$417,0))="","",Q332-INDEX($Q$2:$Q$417,MATCH($M332,$A$2:$A$417,0))),"")))),"")</f>
        <v/>
      </c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10" t="n"/>
      <c r="Z332" s="10" t="n"/>
      <c r="AA332" s="6" t="n"/>
      <c r="AB332" s="11" t="inlineStr">
        <is>
          <t>gate and tagger swept jointly against the cascaded objective; gate threshold 0.5</t>
        </is>
      </c>
      <c r="AC332" s="11" t="n"/>
    </row>
    <row r="333" ht="28" customHeight="1">
      <c r="A333" s="12" t="inlineStr">
        <is>
          <t>R7.1</t>
        </is>
      </c>
      <c r="B333" s="13" t="n">
        <v>46259</v>
      </c>
      <c r="C333" s="12" t="inlineStr">
        <is>
          <t>sensitive</t>
        </is>
      </c>
      <c r="D333" s="12" t="inlineStr">
        <is>
          <t>current_rules</t>
        </is>
      </c>
      <c r="E333" s="12" t="inlineStr">
        <is>
          <t>4000_datax-dualjudge-evalset-1.32k</t>
        </is>
      </c>
      <c r="F333" s="14" t="inlineStr">
        <is>
          <t>T1</t>
        </is>
      </c>
      <c r="G333" s="15" t="n">
        <v>1000</v>
      </c>
      <c r="H333" s="16" t="n"/>
      <c r="I333" s="16" t="n"/>
      <c r="J333" s="16" t="n"/>
      <c r="K333" s="17" t="n"/>
      <c r="L333" s="18" t="n"/>
      <c r="M333" s="14" t="inlineStr"/>
      <c r="N333" s="19">
        <f>IFERROR(IF(P333&lt;&gt;"",IF(INDEX($P$2:$P$417,MATCH($M333,$A$2:$A$417,0))="","",P333-INDEX($P$2:$P$417,MATCH($M333,$A$2:$A$417,0))),IF(H333&lt;&gt;"",IF(INDEX($H$2:$H$417,MATCH($M333,$A$2:$A$417,0))="","",H333-INDEX($H$2:$H$417,MATCH($M333,$A$2:$A$417,0))),IF(O333&lt;&gt;"",IF(INDEX($O$2:$O$417,MATCH($M333,$A$2:$A$417,0))="","",O333-INDEX($O$2:$O$417,MATCH($M333,$A$2:$A$417,0))),IF(Q333&lt;&gt;"",IF(INDEX($Q$2:$Q$417,MATCH($M333,$A$2:$A$417,0))="","",Q333-INDEX($Q$2:$Q$417,MATCH($M333,$A$2:$A$417,0))),"")))),"")</f>
        <v/>
      </c>
      <c r="O333" s="16" t="n"/>
      <c r="P333" s="16" t="n"/>
      <c r="Q333" s="16" t="n"/>
      <c r="R333" s="16" t="n"/>
      <c r="S333" s="16" t="n"/>
      <c r="T333" s="16" t="n"/>
      <c r="U333" s="16" t="n"/>
      <c r="V333" s="16" t="n"/>
      <c r="W333" s="16" t="n"/>
      <c r="X333" s="16" t="n"/>
      <c r="Y333" s="20" t="n"/>
      <c r="Z333" s="20" t="n"/>
      <c r="AA333" s="16" t="n"/>
      <c r="AB333" s="21" t="inlineStr">
        <is>
          <t>1,000-trial multi-family search and read-depth sweep</t>
        </is>
      </c>
      <c r="AC333" s="21" t="inlineStr">
        <is>
          <t>Priority and effective-latency gates pass; macro-F2 target misses; package for research/internal use</t>
        </is>
      </c>
    </row>
    <row r="334" ht="28" customHeight="1">
      <c r="A334" s="2" t="inlineStr">
        <is>
          <t>R7.2</t>
        </is>
      </c>
      <c r="B334" s="3" t="n">
        <v>46259</v>
      </c>
      <c r="C334" s="2" t="inlineStr">
        <is>
          <t>sensitive</t>
        </is>
      </c>
      <c r="D334" s="2" t="inlineStr">
        <is>
          <t>current_rules</t>
        </is>
      </c>
      <c r="E334" s="2" t="inlineStr">
        <is>
          <t>6589_govdocs2-dualjudge-eval20-3.53k</t>
        </is>
      </c>
      <c r="F334" s="4" t="inlineStr">
        <is>
          <t>T1</t>
        </is>
      </c>
      <c r="G334" s="5" t="n">
        <v>1000</v>
      </c>
      <c r="H334" s="6" t="n"/>
      <c r="I334" s="6" t="n"/>
      <c r="J334" s="6" t="n"/>
      <c r="K334" s="7" t="n"/>
      <c r="L334" s="8" t="n"/>
      <c r="M334" s="4" t="inlineStr"/>
      <c r="N334" s="9">
        <f>IFERROR(IF(P334&lt;&gt;"",IF(INDEX($P$2:$P$417,MATCH($M334,$A$2:$A$417,0))="","",P334-INDEX($P$2:$P$417,MATCH($M334,$A$2:$A$417,0))),IF(H334&lt;&gt;"",IF(INDEX($H$2:$H$417,MATCH($M334,$A$2:$A$417,0))="","",H334-INDEX($H$2:$H$417,MATCH($M334,$A$2:$A$417,0))),IF(O334&lt;&gt;"",IF(INDEX($O$2:$O$417,MATCH($M334,$A$2:$A$417,0))="","",O334-INDEX($O$2:$O$417,MATCH($M334,$A$2:$A$417,0))),IF(Q334&lt;&gt;"",IF(INDEX($Q$2:$Q$417,MATCH($M334,$A$2:$A$417,0))="","",Q334-INDEX($Q$2:$Q$417,MATCH($M334,$A$2:$A$417,0))),"")))),"")</f>
        <v/>
      </c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10" t="n"/>
      <c r="Z334" s="10" t="n"/>
      <c r="AA334" s="6" t="n"/>
      <c r="AB334" s="11" t="inlineStr">
        <is>
          <t>1,000-trial multi-family search and read-depth sweep</t>
        </is>
      </c>
      <c r="AC334" s="11" t="inlineStr">
        <is>
          <t>Priority and effective-latency gates pass; macro-F2 target misses; package for research/internal use</t>
        </is>
      </c>
    </row>
    <row r="335" ht="28" customHeight="1">
      <c r="A335" s="12" t="inlineStr">
        <is>
          <t>R7.3</t>
        </is>
      </c>
      <c r="B335" s="13" t="n">
        <v>46259</v>
      </c>
      <c r="C335" s="12" t="inlineStr">
        <is>
          <t>sensitive</t>
        </is>
      </c>
      <c r="D335" s="12" t="inlineStr">
        <is>
          <t>current_rules</t>
        </is>
      </c>
      <c r="E335" s="12" t="inlineStr">
        <is>
          <t>ai4privacy_pii_masking_eval_10k</t>
        </is>
      </c>
      <c r="F335" s="14" t="inlineStr">
        <is>
          <t>T1</t>
        </is>
      </c>
      <c r="G335" s="15" t="n">
        <v>1000</v>
      </c>
      <c r="H335" s="16" t="n"/>
      <c r="I335" s="16" t="n"/>
      <c r="J335" s="16" t="n"/>
      <c r="K335" s="17" t="n"/>
      <c r="L335" s="18" t="n"/>
      <c r="M335" s="14" t="inlineStr"/>
      <c r="N335" s="19">
        <f>IFERROR(IF(P335&lt;&gt;"",IF(INDEX($P$2:$P$417,MATCH($M335,$A$2:$A$417,0))="","",P335-INDEX($P$2:$P$417,MATCH($M335,$A$2:$A$417,0))),IF(H335&lt;&gt;"",IF(INDEX($H$2:$H$417,MATCH($M335,$A$2:$A$417,0))="","",H335-INDEX($H$2:$H$417,MATCH($M335,$A$2:$A$417,0))),IF(O335&lt;&gt;"",IF(INDEX($O$2:$O$417,MATCH($M335,$A$2:$A$417,0))="","",O335-INDEX($O$2:$O$417,MATCH($M335,$A$2:$A$417,0))),IF(Q335&lt;&gt;"",IF(INDEX($Q$2:$Q$417,MATCH($M335,$A$2:$A$417,0))="","",Q335-INDEX($Q$2:$Q$417,MATCH($M335,$A$2:$A$417,0))),"")))),"")</f>
        <v/>
      </c>
      <c r="O335" s="16" t="n"/>
      <c r="P335" s="16" t="n">
        <v>0.1530788828162198</v>
      </c>
      <c r="Q335" s="16" t="n">
        <v>0.22315977564898</v>
      </c>
      <c r="R335" s="16" t="n"/>
      <c r="S335" s="16" t="n"/>
      <c r="T335" s="16" t="n"/>
      <c r="U335" s="16" t="n"/>
      <c r="V335" s="16" t="n"/>
      <c r="W335" s="16" t="n"/>
      <c r="X335" s="16" t="n"/>
      <c r="Y335" s="20" t="n"/>
      <c r="Z335" s="20" t="n"/>
      <c r="AA335" s="16" t="n"/>
      <c r="AB335" s="21" t="inlineStr">
        <is>
          <t>1,000-trial multi-family search and read-depth sweep</t>
        </is>
      </c>
      <c r="AC335" s="21" t="inlineStr">
        <is>
          <t>collapsed-taxonomy diagnostic: macro F2 0.1786 (+0.0255)</t>
        </is>
      </c>
    </row>
    <row r="336" ht="28" customHeight="1">
      <c r="A336" s="2" t="inlineStr">
        <is>
          <t>R7.4</t>
        </is>
      </c>
      <c r="B336" s="3" t="n">
        <v>46259</v>
      </c>
      <c r="C336" s="2" t="inlineStr">
        <is>
          <t>sensitive</t>
        </is>
      </c>
      <c r="D336" s="2" t="inlineStr">
        <is>
          <t>current_rules</t>
        </is>
      </c>
      <c r="E336" s="2" t="inlineStr">
        <is>
          <t>betterdataai_ner_silver_eval_10k</t>
        </is>
      </c>
      <c r="F336" s="4" t="inlineStr">
        <is>
          <t>T1</t>
        </is>
      </c>
      <c r="G336" s="5" t="n">
        <v>1000</v>
      </c>
      <c r="H336" s="6" t="n"/>
      <c r="I336" s="6" t="n"/>
      <c r="J336" s="6" t="n"/>
      <c r="K336" s="7" t="n"/>
      <c r="L336" s="8" t="n"/>
      <c r="M336" s="4" t="inlineStr"/>
      <c r="N336" s="9">
        <f>IFERROR(IF(P336&lt;&gt;"",IF(INDEX($P$2:$P$417,MATCH($M336,$A$2:$A$417,0))="","",P336-INDEX($P$2:$P$417,MATCH($M336,$A$2:$A$417,0))),IF(H336&lt;&gt;"",IF(INDEX($H$2:$H$417,MATCH($M336,$A$2:$A$417,0))="","",H336-INDEX($H$2:$H$417,MATCH($M336,$A$2:$A$417,0))),IF(O336&lt;&gt;"",IF(INDEX($O$2:$O$417,MATCH($M336,$A$2:$A$417,0))="","",O336-INDEX($O$2:$O$417,MATCH($M336,$A$2:$A$417,0))),IF(Q336&lt;&gt;"",IF(INDEX($Q$2:$Q$417,MATCH($M336,$A$2:$A$417,0))="","",Q336-INDEX($Q$2:$Q$417,MATCH($M336,$A$2:$A$417,0))),"")))),"")</f>
        <v/>
      </c>
      <c r="O336" s="6" t="n"/>
      <c r="P336" s="6" t="n">
        <v>0.01494823833269501</v>
      </c>
      <c r="Q336" s="6" t="n">
        <v>0.02195579950888344</v>
      </c>
      <c r="R336" s="6" t="n"/>
      <c r="S336" s="6" t="n"/>
      <c r="T336" s="6" t="n"/>
      <c r="U336" s="6" t="n"/>
      <c r="V336" s="6" t="n"/>
      <c r="W336" s="6" t="n"/>
      <c r="X336" s="6" t="n"/>
      <c r="Y336" s="10" t="n"/>
      <c r="Z336" s="10" t="n"/>
      <c r="AA336" s="6" t="n"/>
      <c r="AB336" s="11" t="inlineStr">
        <is>
          <t>1,000-trial multi-family search and read-depth sweep</t>
        </is>
      </c>
      <c r="AC336" s="11" t="inlineStr">
        <is>
          <t>collapsed-taxonomy diagnostic: macro F2 0.0181 (+0.0031)</t>
        </is>
      </c>
    </row>
    <row r="337" ht="28" customHeight="1">
      <c r="A337" s="12" t="inlineStr">
        <is>
          <t>R7.5</t>
        </is>
      </c>
      <c r="B337" s="13" t="n">
        <v>46259</v>
      </c>
      <c r="C337" s="12" t="inlineStr">
        <is>
          <t>sensitive</t>
        </is>
      </c>
      <c r="D337" s="12" t="inlineStr">
        <is>
          <t>current_rules</t>
        </is>
      </c>
      <c r="E337" s="12" t="inlineStr">
        <is>
          <t>nemotron_eval_6k</t>
        </is>
      </c>
      <c r="F337" s="14" t="inlineStr">
        <is>
          <t>T1</t>
        </is>
      </c>
      <c r="G337" s="15" t="n">
        <v>1000</v>
      </c>
      <c r="H337" s="16" t="n"/>
      <c r="I337" s="16" t="n"/>
      <c r="J337" s="16" t="n"/>
      <c r="K337" s="17" t="n"/>
      <c r="L337" s="18" t="n"/>
      <c r="M337" s="14" t="inlineStr"/>
      <c r="N337" s="19">
        <f>IFERROR(IF(P337&lt;&gt;"",IF(INDEX($P$2:$P$417,MATCH($M337,$A$2:$A$417,0))="","",P337-INDEX($P$2:$P$417,MATCH($M337,$A$2:$A$417,0))),IF(H337&lt;&gt;"",IF(INDEX($H$2:$H$417,MATCH($M337,$A$2:$A$417,0))="","",H337-INDEX($H$2:$H$417,MATCH($M337,$A$2:$A$417,0))),IF(O337&lt;&gt;"",IF(INDEX($O$2:$O$417,MATCH($M337,$A$2:$A$417,0))="","",O337-INDEX($O$2:$O$417,MATCH($M337,$A$2:$A$417,0))),IF(Q337&lt;&gt;"",IF(INDEX($Q$2:$Q$417,MATCH($M337,$A$2:$A$417,0))="","",Q337-INDEX($Q$2:$Q$417,MATCH($M337,$A$2:$A$417,0))),"")))),"")</f>
        <v/>
      </c>
      <c r="O337" s="16" t="n"/>
      <c r="P337" s="16" t="n"/>
      <c r="Q337" s="16" t="n"/>
      <c r="R337" s="16" t="n"/>
      <c r="S337" s="16" t="n"/>
      <c r="T337" s="16" t="n"/>
      <c r="U337" s="16" t="n"/>
      <c r="V337" s="16" t="n"/>
      <c r="W337" s="16" t="n"/>
      <c r="X337" s="16" t="n"/>
      <c r="Y337" s="20" t="n"/>
      <c r="Z337" s="20" t="n"/>
      <c r="AA337" s="16" t="n"/>
      <c r="AB337" s="21" t="inlineStr">
        <is>
          <t>1,000-trial multi-family search and read-depth sweep</t>
        </is>
      </c>
      <c r="AC337" s="21" t="inlineStr">
        <is>
          <t>Priority and effective-latency gates pass; macro-F2 target misses; package for research/internal use</t>
        </is>
      </c>
    </row>
    <row r="338" ht="28" customHeight="1">
      <c r="A338" s="2" t="inlineStr">
        <is>
          <t>R7.6</t>
        </is>
      </c>
      <c r="B338" s="3" t="n">
        <v>46259</v>
      </c>
      <c r="C338" s="2" t="inlineStr">
        <is>
          <t>sensitive</t>
        </is>
      </c>
      <c r="D338" s="2" t="inlineStr">
        <is>
          <t>current_rules</t>
        </is>
      </c>
      <c r="E338" s="2" t="inlineStr">
        <is>
          <t>openpii_pii_eval_38k</t>
        </is>
      </c>
      <c r="F338" s="4" t="inlineStr">
        <is>
          <t>T1</t>
        </is>
      </c>
      <c r="G338" s="5" t="n">
        <v>1000</v>
      </c>
      <c r="H338" s="6" t="n"/>
      <c r="I338" s="6" t="n"/>
      <c r="J338" s="6" t="n"/>
      <c r="K338" s="7" t="n"/>
      <c r="L338" s="8" t="n"/>
      <c r="M338" s="4" t="inlineStr"/>
      <c r="N338" s="9">
        <f>IFERROR(IF(P338&lt;&gt;"",IF(INDEX($P$2:$P$417,MATCH($M338,$A$2:$A$417,0))="","",P338-INDEX($P$2:$P$417,MATCH($M338,$A$2:$A$417,0))),IF(H338&lt;&gt;"",IF(INDEX($H$2:$H$417,MATCH($M338,$A$2:$A$417,0))="","",H338-INDEX($H$2:$H$417,MATCH($M338,$A$2:$A$417,0))),IF(O338&lt;&gt;"",IF(INDEX($O$2:$O$417,MATCH($M338,$A$2:$A$417,0))="","",O338-INDEX($O$2:$O$417,MATCH($M338,$A$2:$A$417,0))),IF(Q338&lt;&gt;"",IF(INDEX($Q$2:$Q$417,MATCH($M338,$A$2:$A$417,0))="","",Q338-INDEX($Q$2:$Q$417,MATCH($M338,$A$2:$A$417,0))),"")))),"")</f>
        <v/>
      </c>
      <c r="O338" s="6" t="n"/>
      <c r="P338" s="6" t="n">
        <v>0.0677819589310179</v>
      </c>
      <c r="Q338" s="6" t="n">
        <v>0.1167992677754597</v>
      </c>
      <c r="R338" s="6" t="n"/>
      <c r="S338" s="6" t="n"/>
      <c r="T338" s="6" t="n"/>
      <c r="U338" s="6" t="n"/>
      <c r="V338" s="6" t="n"/>
      <c r="W338" s="6" t="n"/>
      <c r="X338" s="6" t="n"/>
      <c r="Y338" s="10" t="n"/>
      <c r="Z338" s="10" t="n"/>
      <c r="AA338" s="6" t="n"/>
      <c r="AB338" s="11" t="inlineStr">
        <is>
          <t>1,000-trial multi-family search and read-depth sweep</t>
        </is>
      </c>
      <c r="AC338" s="11" t="inlineStr">
        <is>
          <t>collapsed-taxonomy diagnostic: macro F2 0.0768 (+0.0090)</t>
        </is>
      </c>
    </row>
    <row r="339" ht="28" customHeight="1">
      <c r="A339" s="12" t="inlineStr">
        <is>
          <t>R7.7</t>
        </is>
      </c>
      <c r="B339" s="13" t="n">
        <v>46259</v>
      </c>
      <c r="C339" s="12" t="inlineStr">
        <is>
          <t>sensitive</t>
        </is>
      </c>
      <c r="D339" s="12" t="inlineStr">
        <is>
          <t>current_rules</t>
        </is>
      </c>
      <c r="E339" s="12" t="inlineStr">
        <is>
          <t>pii2_eval_30k</t>
        </is>
      </c>
      <c r="F339" s="14" t="inlineStr">
        <is>
          <t>T1</t>
        </is>
      </c>
      <c r="G339" s="15" t="n">
        <v>1000</v>
      </c>
      <c r="H339" s="16" t="n"/>
      <c r="I339" s="16" t="n"/>
      <c r="J339" s="16" t="n"/>
      <c r="K339" s="17" t="n"/>
      <c r="L339" s="18" t="n"/>
      <c r="M339" s="14" t="inlineStr"/>
      <c r="N339" s="19">
        <f>IFERROR(IF(P339&lt;&gt;"",IF(INDEX($P$2:$P$417,MATCH($M339,$A$2:$A$417,0))="","",P339-INDEX($P$2:$P$417,MATCH($M339,$A$2:$A$417,0))),IF(H339&lt;&gt;"",IF(INDEX($H$2:$H$417,MATCH($M339,$A$2:$A$417,0))="","",H339-INDEX($H$2:$H$417,MATCH($M339,$A$2:$A$417,0))),IF(O339&lt;&gt;"",IF(INDEX($O$2:$O$417,MATCH($M339,$A$2:$A$417,0))="","",O339-INDEX($O$2:$O$417,MATCH($M339,$A$2:$A$417,0))),IF(Q339&lt;&gt;"",IF(INDEX($Q$2:$Q$417,MATCH($M339,$A$2:$A$417,0))="","",Q339-INDEX($Q$2:$Q$417,MATCH($M339,$A$2:$A$417,0))),"")))),"")</f>
        <v/>
      </c>
      <c r="O339" s="16" t="n"/>
      <c r="P339" s="16" t="n">
        <v>0.1460041231973311</v>
      </c>
      <c r="Q339" s="16" t="n">
        <v>0.3984836319656886</v>
      </c>
      <c r="R339" s="16" t="n"/>
      <c r="S339" s="16" t="n"/>
      <c r="T339" s="16" t="n"/>
      <c r="U339" s="16" t="n"/>
      <c r="V339" s="16" t="n"/>
      <c r="W339" s="16" t="n"/>
      <c r="X339" s="16" t="n"/>
      <c r="Y339" s="20" t="n"/>
      <c r="Z339" s="20" t="n"/>
      <c r="AA339" s="16" t="n"/>
      <c r="AB339" s="21" t="inlineStr">
        <is>
          <t>1,000-trial multi-family search and read-depth sweep</t>
        </is>
      </c>
      <c r="AC339" s="21" t="inlineStr">
        <is>
          <t>collapsed-taxonomy diagnostic: macro F2 0.1568 (+0.0108)</t>
        </is>
      </c>
    </row>
    <row r="340" ht="28" customHeight="1">
      <c r="A340" s="2" t="inlineStr">
        <is>
          <t>R7.8</t>
        </is>
      </c>
      <c r="B340" s="3" t="n">
        <v>46259</v>
      </c>
      <c r="C340" s="2" t="inlineStr">
        <is>
          <t>sensitive</t>
        </is>
      </c>
      <c r="D340" s="2" t="inlineStr">
        <is>
          <t>current_rules</t>
        </is>
      </c>
      <c r="E340" s="2" t="inlineStr">
        <is>
          <t>pii_holdout_20k</t>
        </is>
      </c>
      <c r="F340" s="4" t="inlineStr">
        <is>
          <t>T1</t>
        </is>
      </c>
      <c r="G340" s="5" t="n">
        <v>1000</v>
      </c>
      <c r="H340" s="6" t="n"/>
      <c r="I340" s="6" t="n"/>
      <c r="J340" s="6" t="n"/>
      <c r="K340" s="7" t="n"/>
      <c r="L340" s="8" t="n"/>
      <c r="M340" s="4" t="inlineStr"/>
      <c r="N340" s="9">
        <f>IFERROR(IF(P340&lt;&gt;"",IF(INDEX($P$2:$P$417,MATCH($M340,$A$2:$A$417,0))="","",P340-INDEX($P$2:$P$417,MATCH($M340,$A$2:$A$417,0))),IF(H340&lt;&gt;"",IF(INDEX($H$2:$H$417,MATCH($M340,$A$2:$A$417,0))="","",H340-INDEX($H$2:$H$417,MATCH($M340,$A$2:$A$417,0))),IF(O340&lt;&gt;"",IF(INDEX($O$2:$O$417,MATCH($M340,$A$2:$A$417,0))="","",O340-INDEX($O$2:$O$417,MATCH($M340,$A$2:$A$417,0))),IF(Q340&lt;&gt;"",IF(INDEX($Q$2:$Q$417,MATCH($M340,$A$2:$A$417,0))="","",Q340-INDEX($Q$2:$Q$417,MATCH($M340,$A$2:$A$417,0))),"")))),"")</f>
        <v/>
      </c>
      <c r="O340" s="6" t="n"/>
      <c r="P340" s="6" t="n">
        <v>0.1106205158625594</v>
      </c>
      <c r="Q340" s="6" t="n">
        <v>0.2397210946706822</v>
      </c>
      <c r="R340" s="6" t="n"/>
      <c r="S340" s="6" t="n"/>
      <c r="T340" s="6" t="n"/>
      <c r="U340" s="6" t="n"/>
      <c r="V340" s="6" t="n"/>
      <c r="W340" s="6" t="n"/>
      <c r="X340" s="6" t="n"/>
      <c r="Y340" s="10" t="n"/>
      <c r="Z340" s="10" t="n"/>
      <c r="AA340" s="6" t="n"/>
      <c r="AB340" s="11" t="inlineStr">
        <is>
          <t>1,000-trial multi-family search and read-depth sweep</t>
        </is>
      </c>
      <c r="AC340" s="11" t="inlineStr">
        <is>
          <t>collapsed-taxonomy diagnostic: macro F2 0.1191 (+0.0085)</t>
        </is>
      </c>
    </row>
    <row r="341" ht="28" customHeight="1">
      <c r="A341" s="12" t="inlineStr">
        <is>
          <t>R7.9</t>
        </is>
      </c>
      <c r="B341" s="13" t="n">
        <v>46259</v>
      </c>
      <c r="C341" s="12" t="inlineStr">
        <is>
          <t>sensitive</t>
        </is>
      </c>
      <c r="D341" s="12" t="inlineStr">
        <is>
          <t>hash_sgd</t>
        </is>
      </c>
      <c r="E341" s="12" t="inlineStr">
        <is>
          <t>4000_datax-dualjudge-evalset-1.32k</t>
        </is>
      </c>
      <c r="F341" s="14" t="inlineStr">
        <is>
          <t>T1</t>
        </is>
      </c>
      <c r="G341" s="15" t="n">
        <v>1000</v>
      </c>
      <c r="H341" s="16" t="n"/>
      <c r="I341" s="16" t="n"/>
      <c r="J341" s="16" t="n"/>
      <c r="K341" s="17" t="n"/>
      <c r="L341" s="18" t="n"/>
      <c r="M341" s="14" t="inlineStr"/>
      <c r="N341" s="19">
        <f>IFERROR(IF(P341&lt;&gt;"",IF(INDEX($P$2:$P$417,MATCH($M341,$A$2:$A$417,0))="","",P341-INDEX($P$2:$P$417,MATCH($M341,$A$2:$A$417,0))),IF(H341&lt;&gt;"",IF(INDEX($H$2:$H$417,MATCH($M341,$A$2:$A$417,0))="","",H341-INDEX($H$2:$H$417,MATCH($M341,$A$2:$A$417,0))),IF(O341&lt;&gt;"",IF(INDEX($O$2:$O$417,MATCH($M341,$A$2:$A$417,0))="","",O341-INDEX($O$2:$O$417,MATCH($M341,$A$2:$A$417,0))),IF(Q341&lt;&gt;"",IF(INDEX($Q$2:$Q$417,MATCH($M341,$A$2:$A$417,0))="","",Q341-INDEX($Q$2:$Q$417,MATCH($M341,$A$2:$A$417,0))),"")))),"")</f>
        <v/>
      </c>
      <c r="O341" s="16" t="n"/>
      <c r="P341" s="16" t="n"/>
      <c r="Q341" s="16" t="n"/>
      <c r="R341" s="16" t="n"/>
      <c r="S341" s="16" t="n"/>
      <c r="T341" s="16" t="n"/>
      <c r="U341" s="16" t="n"/>
      <c r="V341" s="16" t="n"/>
      <c r="W341" s="16" t="n"/>
      <c r="X341" s="16" t="n"/>
      <c r="Y341" s="20" t="n"/>
      <c r="Z341" s="20" t="n"/>
      <c r="AA341" s="16" t="n"/>
      <c r="AB341" s="21" t="inlineStr">
        <is>
          <t>1,000-trial multi-family search and read-depth sweep</t>
        </is>
      </c>
      <c r="AC341" s="21" t="inlineStr">
        <is>
          <t>Priority and effective-latency gates pass; macro-F2 target misses; package for research/internal use</t>
        </is>
      </c>
    </row>
    <row r="342" ht="28" customHeight="1">
      <c r="A342" s="2" t="inlineStr">
        <is>
          <t>R7.10</t>
        </is>
      </c>
      <c r="B342" s="3" t="n">
        <v>46259</v>
      </c>
      <c r="C342" s="2" t="inlineStr">
        <is>
          <t>sensitive</t>
        </is>
      </c>
      <c r="D342" s="2" t="inlineStr">
        <is>
          <t>hash_sgd</t>
        </is>
      </c>
      <c r="E342" s="2" t="inlineStr">
        <is>
          <t>6589_govdocs2-dualjudge-eval20-3.53k</t>
        </is>
      </c>
      <c r="F342" s="4" t="inlineStr">
        <is>
          <t>T1</t>
        </is>
      </c>
      <c r="G342" s="5" t="n">
        <v>1000</v>
      </c>
      <c r="H342" s="6" t="n"/>
      <c r="I342" s="6" t="n"/>
      <c r="J342" s="6" t="n"/>
      <c r="K342" s="7" t="n"/>
      <c r="L342" s="8" t="n"/>
      <c r="M342" s="4" t="inlineStr"/>
      <c r="N342" s="9">
        <f>IFERROR(IF(P342&lt;&gt;"",IF(INDEX($P$2:$P$417,MATCH($M342,$A$2:$A$417,0))="","",P342-INDEX($P$2:$P$417,MATCH($M342,$A$2:$A$417,0))),IF(H342&lt;&gt;"",IF(INDEX($H$2:$H$417,MATCH($M342,$A$2:$A$417,0))="","",H342-INDEX($H$2:$H$417,MATCH($M342,$A$2:$A$417,0))),IF(O342&lt;&gt;"",IF(INDEX($O$2:$O$417,MATCH($M342,$A$2:$A$417,0))="","",O342-INDEX($O$2:$O$417,MATCH($M342,$A$2:$A$417,0))),IF(Q342&lt;&gt;"",IF(INDEX($Q$2:$Q$417,MATCH($M342,$A$2:$A$417,0))="","",Q342-INDEX($Q$2:$Q$417,MATCH($M342,$A$2:$A$417,0))),"")))),"")</f>
        <v/>
      </c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10" t="n"/>
      <c r="Z342" s="10" t="n"/>
      <c r="AA342" s="6" t="n"/>
      <c r="AB342" s="11" t="inlineStr">
        <is>
          <t>1,000-trial multi-family search and read-depth sweep</t>
        </is>
      </c>
      <c r="AC342" s="11" t="inlineStr">
        <is>
          <t>Priority and effective-latency gates pass; macro-F2 target misses; package for research/internal use</t>
        </is>
      </c>
    </row>
    <row r="343" ht="28" customHeight="1">
      <c r="A343" s="12" t="inlineStr">
        <is>
          <t>R7.11</t>
        </is>
      </c>
      <c r="B343" s="13" t="n">
        <v>46259</v>
      </c>
      <c r="C343" s="12" t="inlineStr">
        <is>
          <t>sensitive</t>
        </is>
      </c>
      <c r="D343" s="12" t="inlineStr">
        <is>
          <t>hash_sgd</t>
        </is>
      </c>
      <c r="E343" s="12" t="inlineStr">
        <is>
          <t>ai4privacy_pii_masking_eval_10k</t>
        </is>
      </c>
      <c r="F343" s="14" t="inlineStr">
        <is>
          <t>T1</t>
        </is>
      </c>
      <c r="G343" s="15" t="n">
        <v>1000</v>
      </c>
      <c r="H343" s="16" t="n"/>
      <c r="I343" s="16" t="n"/>
      <c r="J343" s="16" t="n"/>
      <c r="K343" s="17" t="n"/>
      <c r="L343" s="18" t="n"/>
      <c r="M343" s="14" t="inlineStr"/>
      <c r="N343" s="19">
        <f>IFERROR(IF(P343&lt;&gt;"",IF(INDEX($P$2:$P$417,MATCH($M343,$A$2:$A$417,0))="","",P343-INDEX($P$2:$P$417,MATCH($M343,$A$2:$A$417,0))),IF(H343&lt;&gt;"",IF(INDEX($H$2:$H$417,MATCH($M343,$A$2:$A$417,0))="","",H343-INDEX($H$2:$H$417,MATCH($M343,$A$2:$A$417,0))),IF(O343&lt;&gt;"",IF(INDEX($O$2:$O$417,MATCH($M343,$A$2:$A$417,0))="","",O343-INDEX($O$2:$O$417,MATCH($M343,$A$2:$A$417,0))),IF(Q343&lt;&gt;"",IF(INDEX($Q$2:$Q$417,MATCH($M343,$A$2:$A$417,0))="","",Q343-INDEX($Q$2:$Q$417,MATCH($M343,$A$2:$A$417,0))),"")))),"")</f>
        <v/>
      </c>
      <c r="O343" s="16" t="n"/>
      <c r="P343" s="16" t="n">
        <v>0.5138092054139196</v>
      </c>
      <c r="Q343" s="16" t="n">
        <v>0.3472723918567492</v>
      </c>
      <c r="R343" s="16" t="n"/>
      <c r="S343" s="16" t="n"/>
      <c r="T343" s="16" t="n"/>
      <c r="U343" s="16" t="n"/>
      <c r="V343" s="16" t="n"/>
      <c r="W343" s="16" t="n"/>
      <c r="X343" s="16" t="n"/>
      <c r="Y343" s="20" t="n"/>
      <c r="Z343" s="20" t="n"/>
      <c r="AA343" s="16" t="n"/>
      <c r="AB343" s="21" t="inlineStr">
        <is>
          <t>1,000-trial multi-family search and read-depth sweep</t>
        </is>
      </c>
      <c r="AC343" s="21" t="inlineStr">
        <is>
          <t>collapsed-taxonomy diagnostic: macro F2 0.5249 (+0.0111)</t>
        </is>
      </c>
    </row>
    <row r="344" ht="28" customHeight="1">
      <c r="A344" s="2" t="inlineStr">
        <is>
          <t>R7.12</t>
        </is>
      </c>
      <c r="B344" s="3" t="n">
        <v>46259</v>
      </c>
      <c r="C344" s="2" t="inlineStr">
        <is>
          <t>sensitive</t>
        </is>
      </c>
      <c r="D344" s="2" t="inlineStr">
        <is>
          <t>hash_sgd</t>
        </is>
      </c>
      <c r="E344" s="2" t="inlineStr">
        <is>
          <t>betterdataai_ner_silver_eval_10k</t>
        </is>
      </c>
      <c r="F344" s="4" t="inlineStr">
        <is>
          <t>T1</t>
        </is>
      </c>
      <c r="G344" s="5" t="n">
        <v>1000</v>
      </c>
      <c r="H344" s="6" t="n"/>
      <c r="I344" s="6" t="n"/>
      <c r="J344" s="6" t="n"/>
      <c r="K344" s="7" t="n"/>
      <c r="L344" s="8" t="n"/>
      <c r="M344" s="4" t="inlineStr"/>
      <c r="N344" s="9">
        <f>IFERROR(IF(P344&lt;&gt;"",IF(INDEX($P$2:$P$417,MATCH($M344,$A$2:$A$417,0))="","",P344-INDEX($P$2:$P$417,MATCH($M344,$A$2:$A$417,0))),IF(H344&lt;&gt;"",IF(INDEX($H$2:$H$417,MATCH($M344,$A$2:$A$417,0))="","",H344-INDEX($H$2:$H$417,MATCH($M344,$A$2:$A$417,0))),IF(O344&lt;&gt;"",IF(INDEX($O$2:$O$417,MATCH($M344,$A$2:$A$417,0))="","",O344-INDEX($O$2:$O$417,MATCH($M344,$A$2:$A$417,0))),IF(Q344&lt;&gt;"",IF(INDEX($Q$2:$Q$417,MATCH($M344,$A$2:$A$417,0))="","",Q344-INDEX($Q$2:$Q$417,MATCH($M344,$A$2:$A$417,0))),"")))),"")</f>
        <v/>
      </c>
      <c r="O344" s="6" t="n"/>
      <c r="P344" s="6" t="n">
        <v>0.1671016615024411</v>
      </c>
      <c r="Q344" s="6" t="n">
        <v>0.1946905682323561</v>
      </c>
      <c r="R344" s="6" t="n"/>
      <c r="S344" s="6" t="n"/>
      <c r="T344" s="6" t="n"/>
      <c r="U344" s="6" t="n"/>
      <c r="V344" s="6" t="n"/>
      <c r="W344" s="6" t="n"/>
      <c r="X344" s="6" t="n"/>
      <c r="Y344" s="10" t="n"/>
      <c r="Z344" s="10" t="n"/>
      <c r="AA344" s="6" t="n"/>
      <c r="AB344" s="11" t="inlineStr">
        <is>
          <t>1,000-trial multi-family search and read-depth sweep</t>
        </is>
      </c>
      <c r="AC344" s="11" t="inlineStr">
        <is>
          <t>collapsed-taxonomy diagnostic: macro F2 0.1718 (+0.0047)</t>
        </is>
      </c>
    </row>
    <row r="345" ht="28" customHeight="1">
      <c r="A345" s="12" t="inlineStr">
        <is>
          <t>R7.13</t>
        </is>
      </c>
      <c r="B345" s="13" t="n">
        <v>46259</v>
      </c>
      <c r="C345" s="12" t="inlineStr">
        <is>
          <t>sensitive</t>
        </is>
      </c>
      <c r="D345" s="12" t="inlineStr">
        <is>
          <t>hash_sgd</t>
        </is>
      </c>
      <c r="E345" s="12" t="inlineStr">
        <is>
          <t>nemotron_eval_6k</t>
        </is>
      </c>
      <c r="F345" s="14" t="inlineStr">
        <is>
          <t>T1</t>
        </is>
      </c>
      <c r="G345" s="15" t="n">
        <v>1000</v>
      </c>
      <c r="H345" s="16" t="n"/>
      <c r="I345" s="16" t="n"/>
      <c r="J345" s="16" t="n"/>
      <c r="K345" s="17" t="n"/>
      <c r="L345" s="18" t="n"/>
      <c r="M345" s="14" t="inlineStr"/>
      <c r="N345" s="19">
        <f>IFERROR(IF(P345&lt;&gt;"",IF(INDEX($P$2:$P$417,MATCH($M345,$A$2:$A$417,0))="","",P345-INDEX($P$2:$P$417,MATCH($M345,$A$2:$A$417,0))),IF(H345&lt;&gt;"",IF(INDEX($H$2:$H$417,MATCH($M345,$A$2:$A$417,0))="","",H345-INDEX($H$2:$H$417,MATCH($M345,$A$2:$A$417,0))),IF(O345&lt;&gt;"",IF(INDEX($O$2:$O$417,MATCH($M345,$A$2:$A$417,0))="","",O345-INDEX($O$2:$O$417,MATCH($M345,$A$2:$A$417,0))),IF(Q345&lt;&gt;"",IF(INDEX($Q$2:$Q$417,MATCH($M345,$A$2:$A$417,0))="","",Q345-INDEX($Q$2:$Q$417,MATCH($M345,$A$2:$A$417,0))),"")))),"")</f>
        <v/>
      </c>
      <c r="O345" s="16" t="n"/>
      <c r="P345" s="16" t="n"/>
      <c r="Q345" s="16" t="n"/>
      <c r="R345" s="16" t="n"/>
      <c r="S345" s="16" t="n"/>
      <c r="T345" s="16" t="n"/>
      <c r="U345" s="16" t="n"/>
      <c r="V345" s="16" t="n"/>
      <c r="W345" s="16" t="n"/>
      <c r="X345" s="16" t="n"/>
      <c r="Y345" s="20" t="n"/>
      <c r="Z345" s="20" t="n"/>
      <c r="AA345" s="16" t="n"/>
      <c r="AB345" s="21" t="inlineStr">
        <is>
          <t>1,000-trial multi-family search and read-depth sweep</t>
        </is>
      </c>
      <c r="AC345" s="21" t="inlineStr">
        <is>
          <t>Priority and effective-latency gates pass; macro-F2 target misses; package for research/internal use</t>
        </is>
      </c>
    </row>
    <row r="346" ht="28" customHeight="1">
      <c r="A346" s="2" t="inlineStr">
        <is>
          <t>R7.14</t>
        </is>
      </c>
      <c r="B346" s="3" t="n">
        <v>46259</v>
      </c>
      <c r="C346" s="2" t="inlineStr">
        <is>
          <t>sensitive</t>
        </is>
      </c>
      <c r="D346" s="2" t="inlineStr">
        <is>
          <t>hash_sgd</t>
        </is>
      </c>
      <c r="E346" s="2" t="inlineStr">
        <is>
          <t>openpii_pii_eval_38k</t>
        </is>
      </c>
      <c r="F346" s="4" t="inlineStr">
        <is>
          <t>T1</t>
        </is>
      </c>
      <c r="G346" s="5" t="n">
        <v>1000</v>
      </c>
      <c r="H346" s="6" t="n"/>
      <c r="I346" s="6" t="n"/>
      <c r="J346" s="6" t="n"/>
      <c r="K346" s="7" t="n"/>
      <c r="L346" s="8" t="n"/>
      <c r="M346" s="4" t="inlineStr"/>
      <c r="N346" s="9">
        <f>IFERROR(IF(P346&lt;&gt;"",IF(INDEX($P$2:$P$417,MATCH($M346,$A$2:$A$417,0))="","",P346-INDEX($P$2:$P$417,MATCH($M346,$A$2:$A$417,0))),IF(H346&lt;&gt;"",IF(INDEX($H$2:$H$417,MATCH($M346,$A$2:$A$417,0))="","",H346-INDEX($H$2:$H$417,MATCH($M346,$A$2:$A$417,0))),IF(O346&lt;&gt;"",IF(INDEX($O$2:$O$417,MATCH($M346,$A$2:$A$417,0))="","",O346-INDEX($O$2:$O$417,MATCH($M346,$A$2:$A$417,0))),IF(Q346&lt;&gt;"",IF(INDEX($Q$2:$Q$417,MATCH($M346,$A$2:$A$417,0))="","",Q346-INDEX($Q$2:$Q$417,MATCH($M346,$A$2:$A$417,0))),"")))),"")</f>
        <v/>
      </c>
      <c r="O346" s="6" t="n"/>
      <c r="P346" s="6" t="n">
        <v>0.6489332938717723</v>
      </c>
      <c r="Q346" s="6" t="n">
        <v>0.6582602828889524</v>
      </c>
      <c r="R346" s="6" t="n"/>
      <c r="S346" s="6" t="n"/>
      <c r="T346" s="6" t="n"/>
      <c r="U346" s="6" t="n"/>
      <c r="V346" s="6" t="n"/>
      <c r="W346" s="6" t="n"/>
      <c r="X346" s="6" t="n"/>
      <c r="Y346" s="10" t="n"/>
      <c r="Z346" s="10" t="n"/>
      <c r="AA346" s="6" t="n"/>
      <c r="AB346" s="11" t="inlineStr">
        <is>
          <t>1,000-trial multi-family search and read-depth sweep</t>
        </is>
      </c>
      <c r="AC346" s="11" t="inlineStr">
        <is>
          <t>collapsed-taxonomy diagnostic: macro F2 0.6161 (-0.0328)</t>
        </is>
      </c>
    </row>
    <row r="347" ht="28" customHeight="1">
      <c r="A347" s="12" t="inlineStr">
        <is>
          <t>R7.15</t>
        </is>
      </c>
      <c r="B347" s="13" t="n">
        <v>46259</v>
      </c>
      <c r="C347" s="12" t="inlineStr">
        <is>
          <t>sensitive</t>
        </is>
      </c>
      <c r="D347" s="12" t="inlineStr">
        <is>
          <t>hash_sgd</t>
        </is>
      </c>
      <c r="E347" s="12" t="inlineStr">
        <is>
          <t>pii2_eval_30k</t>
        </is>
      </c>
      <c r="F347" s="14" t="inlineStr">
        <is>
          <t>T1</t>
        </is>
      </c>
      <c r="G347" s="15" t="n">
        <v>1000</v>
      </c>
      <c r="H347" s="16" t="n"/>
      <c r="I347" s="16" t="n"/>
      <c r="J347" s="16" t="n"/>
      <c r="K347" s="17" t="n"/>
      <c r="L347" s="18" t="n"/>
      <c r="M347" s="14" t="inlineStr"/>
      <c r="N347" s="19">
        <f>IFERROR(IF(P347&lt;&gt;"",IF(INDEX($P$2:$P$417,MATCH($M347,$A$2:$A$417,0))="","",P347-INDEX($P$2:$P$417,MATCH($M347,$A$2:$A$417,0))),IF(H347&lt;&gt;"",IF(INDEX($H$2:$H$417,MATCH($M347,$A$2:$A$417,0))="","",H347-INDEX($H$2:$H$417,MATCH($M347,$A$2:$A$417,0))),IF(O347&lt;&gt;"",IF(INDEX($O$2:$O$417,MATCH($M347,$A$2:$A$417,0))="","",O347-INDEX($O$2:$O$417,MATCH($M347,$A$2:$A$417,0))),IF(Q347&lt;&gt;"",IF(INDEX($Q$2:$Q$417,MATCH($M347,$A$2:$A$417,0))="","",Q347-INDEX($Q$2:$Q$417,MATCH($M347,$A$2:$A$417,0))),"")))),"")</f>
        <v/>
      </c>
      <c r="O347" s="16" t="n"/>
      <c r="P347" s="16" t="n">
        <v>0.311098893470704</v>
      </c>
      <c r="Q347" s="16" t="n">
        <v>0.146864267904674</v>
      </c>
      <c r="R347" s="16" t="n"/>
      <c r="S347" s="16" t="n"/>
      <c r="T347" s="16" t="n"/>
      <c r="U347" s="16" t="n"/>
      <c r="V347" s="16" t="n"/>
      <c r="W347" s="16" t="n"/>
      <c r="X347" s="16" t="n"/>
      <c r="Y347" s="20" t="n"/>
      <c r="Z347" s="20" t="n"/>
      <c r="AA347" s="16" t="n"/>
      <c r="AB347" s="21" t="inlineStr">
        <is>
          <t>1,000-trial multi-family search and read-depth sweep</t>
        </is>
      </c>
      <c r="AC347" s="21" t="inlineStr">
        <is>
          <t>collapsed-taxonomy diagnostic: macro F2 0.2943 (-0.0168)</t>
        </is>
      </c>
    </row>
    <row r="348" ht="28" customHeight="1">
      <c r="A348" s="2" t="inlineStr">
        <is>
          <t>R7.16</t>
        </is>
      </c>
      <c r="B348" s="3" t="n">
        <v>46259</v>
      </c>
      <c r="C348" s="2" t="inlineStr">
        <is>
          <t>sensitive</t>
        </is>
      </c>
      <c r="D348" s="2" t="inlineStr">
        <is>
          <t>hash_sgd</t>
        </is>
      </c>
      <c r="E348" s="2" t="inlineStr">
        <is>
          <t>pii_holdout_20k</t>
        </is>
      </c>
      <c r="F348" s="4" t="inlineStr">
        <is>
          <t>T1</t>
        </is>
      </c>
      <c r="G348" s="5" t="n">
        <v>1000</v>
      </c>
      <c r="H348" s="6" t="n"/>
      <c r="I348" s="6" t="n"/>
      <c r="J348" s="6" t="n"/>
      <c r="K348" s="7" t="n"/>
      <c r="L348" s="8" t="n"/>
      <c r="M348" s="4" t="inlineStr"/>
      <c r="N348" s="9">
        <f>IFERROR(IF(P348&lt;&gt;"",IF(INDEX($P$2:$P$417,MATCH($M348,$A$2:$A$417,0))="","",P348-INDEX($P$2:$P$417,MATCH($M348,$A$2:$A$417,0))),IF(H348&lt;&gt;"",IF(INDEX($H$2:$H$417,MATCH($M348,$A$2:$A$417,0))="","",H348-INDEX($H$2:$H$417,MATCH($M348,$A$2:$A$417,0))),IF(O348&lt;&gt;"",IF(INDEX($O$2:$O$417,MATCH($M348,$A$2:$A$417,0))="","",O348-INDEX($O$2:$O$417,MATCH($M348,$A$2:$A$417,0))),IF(Q348&lt;&gt;"",IF(INDEX($Q$2:$Q$417,MATCH($M348,$A$2:$A$417,0))="","",Q348-INDEX($Q$2:$Q$417,MATCH($M348,$A$2:$A$417,0))),"")))),"")</f>
        <v/>
      </c>
      <c r="O348" s="6" t="n"/>
      <c r="P348" s="6" t="n">
        <v>0.4759054113867193</v>
      </c>
      <c r="Q348" s="6" t="n">
        <v>0.3790274333405324</v>
      </c>
      <c r="R348" s="6" t="n"/>
      <c r="S348" s="6" t="n"/>
      <c r="T348" s="6" t="n"/>
      <c r="U348" s="6" t="n"/>
      <c r="V348" s="6" t="n"/>
      <c r="W348" s="6" t="n"/>
      <c r="X348" s="6" t="n"/>
      <c r="Y348" s="10" t="n"/>
      <c r="Z348" s="10" t="n"/>
      <c r="AA348" s="6" t="n"/>
      <c r="AB348" s="11" t="inlineStr">
        <is>
          <t>1,000-trial multi-family search and read-depth sweep</t>
        </is>
      </c>
      <c r="AC348" s="11" t="inlineStr">
        <is>
          <t>collapsed-taxonomy diagnostic: macro F2 0.4556 (-0.0203)</t>
        </is>
      </c>
    </row>
    <row r="349" ht="28" customHeight="1">
      <c r="A349" s="12" t="inlineStr">
        <is>
          <t>R7.17</t>
        </is>
      </c>
      <c r="B349" s="13" t="n">
        <v>46259</v>
      </c>
      <c r="C349" s="12" t="inlineStr">
        <is>
          <t>sensitive</t>
        </is>
      </c>
      <c r="D349" s="12" t="inlineStr">
        <is>
          <t>hash_sgd_f2</t>
        </is>
      </c>
      <c r="E349" s="12" t="inlineStr">
        <is>
          <t>4000_datax-dualjudge-evalset-1.32k</t>
        </is>
      </c>
      <c r="F349" s="14" t="inlineStr">
        <is>
          <t>T1</t>
        </is>
      </c>
      <c r="G349" s="15" t="n">
        <v>1000</v>
      </c>
      <c r="H349" s="16" t="n"/>
      <c r="I349" s="16" t="n"/>
      <c r="J349" s="16" t="n"/>
      <c r="K349" s="17" t="n"/>
      <c r="L349" s="18" t="n"/>
      <c r="M349" s="14" t="inlineStr"/>
      <c r="N349" s="19">
        <f>IFERROR(IF(P349&lt;&gt;"",IF(INDEX($P$2:$P$417,MATCH($M349,$A$2:$A$417,0))="","",P349-INDEX($P$2:$P$417,MATCH($M349,$A$2:$A$417,0))),IF(H349&lt;&gt;"",IF(INDEX($H$2:$H$417,MATCH($M349,$A$2:$A$417,0))="","",H349-INDEX($H$2:$H$417,MATCH($M349,$A$2:$A$417,0))),IF(O349&lt;&gt;"",IF(INDEX($O$2:$O$417,MATCH($M349,$A$2:$A$417,0))="","",O349-INDEX($O$2:$O$417,MATCH($M349,$A$2:$A$417,0))),IF(Q349&lt;&gt;"",IF(INDEX($Q$2:$Q$417,MATCH($M349,$A$2:$A$417,0))="","",Q349-INDEX($Q$2:$Q$417,MATCH($M349,$A$2:$A$417,0))),"")))),"")</f>
        <v/>
      </c>
      <c r="O349" s="16" t="n"/>
      <c r="P349" s="16" t="n"/>
      <c r="Q349" s="16" t="n"/>
      <c r="R349" s="16" t="n"/>
      <c r="S349" s="16" t="n"/>
      <c r="T349" s="16" t="n"/>
      <c r="U349" s="16" t="n"/>
      <c r="V349" s="16" t="n"/>
      <c r="W349" s="16" t="n"/>
      <c r="X349" s="16" t="n"/>
      <c r="Y349" s="20" t="n"/>
      <c r="Z349" s="20" t="n"/>
      <c r="AA349" s="16" t="n"/>
      <c r="AB349" s="21" t="inlineStr">
        <is>
          <t>1,000-trial multi-family search and read-depth sweep</t>
        </is>
      </c>
      <c r="AC349" s="21" t="inlineStr">
        <is>
          <t>Priority and effective-latency gates pass; macro-F2 target misses; package for research/internal use</t>
        </is>
      </c>
    </row>
    <row r="350" ht="28" customHeight="1">
      <c r="A350" s="2" t="inlineStr">
        <is>
          <t>R7.18</t>
        </is>
      </c>
      <c r="B350" s="3" t="n">
        <v>46259</v>
      </c>
      <c r="C350" s="2" t="inlineStr">
        <is>
          <t>sensitive</t>
        </is>
      </c>
      <c r="D350" s="2" t="inlineStr">
        <is>
          <t>hash_sgd_f2</t>
        </is>
      </c>
      <c r="E350" s="2" t="inlineStr">
        <is>
          <t>6589_govdocs2-dualjudge-eval20-3.53k</t>
        </is>
      </c>
      <c r="F350" s="4" t="inlineStr">
        <is>
          <t>T1</t>
        </is>
      </c>
      <c r="G350" s="5" t="n">
        <v>1000</v>
      </c>
      <c r="H350" s="6" t="n"/>
      <c r="I350" s="6" t="n"/>
      <c r="J350" s="6" t="n"/>
      <c r="K350" s="7" t="n"/>
      <c r="L350" s="8" t="n"/>
      <c r="M350" s="4" t="inlineStr"/>
      <c r="N350" s="9">
        <f>IFERROR(IF(P350&lt;&gt;"",IF(INDEX($P$2:$P$417,MATCH($M350,$A$2:$A$417,0))="","",P350-INDEX($P$2:$P$417,MATCH($M350,$A$2:$A$417,0))),IF(H350&lt;&gt;"",IF(INDEX($H$2:$H$417,MATCH($M350,$A$2:$A$417,0))="","",H350-INDEX($H$2:$H$417,MATCH($M350,$A$2:$A$417,0))),IF(O350&lt;&gt;"",IF(INDEX($O$2:$O$417,MATCH($M350,$A$2:$A$417,0))="","",O350-INDEX($O$2:$O$417,MATCH($M350,$A$2:$A$417,0))),IF(Q350&lt;&gt;"",IF(INDEX($Q$2:$Q$417,MATCH($M350,$A$2:$A$417,0))="","",Q350-INDEX($Q$2:$Q$417,MATCH($M350,$A$2:$A$417,0))),"")))),"")</f>
        <v/>
      </c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10" t="n"/>
      <c r="Z350" s="10" t="n"/>
      <c r="AA350" s="6" t="n"/>
      <c r="AB350" s="11" t="inlineStr">
        <is>
          <t>1,000-trial multi-family search and read-depth sweep</t>
        </is>
      </c>
      <c r="AC350" s="11" t="inlineStr">
        <is>
          <t>Priority and effective-latency gates pass; macro-F2 target misses; package for research/internal use</t>
        </is>
      </c>
    </row>
    <row r="351" ht="28" customHeight="1">
      <c r="A351" s="12" t="inlineStr">
        <is>
          <t>R7.19</t>
        </is>
      </c>
      <c r="B351" s="13" t="n">
        <v>46259</v>
      </c>
      <c r="C351" s="12" t="inlineStr">
        <is>
          <t>sensitive</t>
        </is>
      </c>
      <c r="D351" s="12" t="inlineStr">
        <is>
          <t>hash_sgd_f2</t>
        </is>
      </c>
      <c r="E351" s="12" t="inlineStr">
        <is>
          <t>ai4privacy_pii_masking_eval_10k</t>
        </is>
      </c>
      <c r="F351" s="14" t="inlineStr">
        <is>
          <t>T1</t>
        </is>
      </c>
      <c r="G351" s="15" t="n">
        <v>1000</v>
      </c>
      <c r="H351" s="16" t="n"/>
      <c r="I351" s="16" t="n"/>
      <c r="J351" s="16" t="n"/>
      <c r="K351" s="17" t="n"/>
      <c r="L351" s="18" t="n"/>
      <c r="M351" s="14" t="inlineStr"/>
      <c r="N351" s="19">
        <f>IFERROR(IF(P351&lt;&gt;"",IF(INDEX($P$2:$P$417,MATCH($M351,$A$2:$A$417,0))="","",P351-INDEX($P$2:$P$417,MATCH($M351,$A$2:$A$417,0))),IF(H351&lt;&gt;"",IF(INDEX($H$2:$H$417,MATCH($M351,$A$2:$A$417,0))="","",H351-INDEX($H$2:$H$417,MATCH($M351,$A$2:$A$417,0))),IF(O351&lt;&gt;"",IF(INDEX($O$2:$O$417,MATCH($M351,$A$2:$A$417,0))="","",O351-INDEX($O$2:$O$417,MATCH($M351,$A$2:$A$417,0))),IF(Q351&lt;&gt;"",IF(INDEX($Q$2:$Q$417,MATCH($M351,$A$2:$A$417,0))="","",Q351-INDEX($Q$2:$Q$417,MATCH($M351,$A$2:$A$417,0))),"")))),"")</f>
        <v/>
      </c>
      <c r="O351" s="16" t="n"/>
      <c r="P351" s="16" t="n">
        <v>0.5421792608605319</v>
      </c>
      <c r="Q351" s="16" t="n">
        <v>0.4734598992638513</v>
      </c>
      <c r="R351" s="16" t="n"/>
      <c r="S351" s="16" t="n"/>
      <c r="T351" s="16" t="n"/>
      <c r="U351" s="16" t="n"/>
      <c r="V351" s="16" t="n"/>
      <c r="W351" s="16" t="n"/>
      <c r="X351" s="16" t="n"/>
      <c r="Y351" s="20" t="n"/>
      <c r="Z351" s="20" t="n"/>
      <c r="AA351" s="16" t="n"/>
      <c r="AB351" s="21" t="inlineStr">
        <is>
          <t>1,000-trial multi-family search and read-depth sweep</t>
        </is>
      </c>
      <c r="AC351" s="21" t="inlineStr">
        <is>
          <t>collapsed-taxonomy diagnostic: macro F2 0.5741 (+0.0319)</t>
        </is>
      </c>
    </row>
    <row r="352" ht="28" customHeight="1">
      <c r="A352" s="2" t="inlineStr">
        <is>
          <t>R7.20</t>
        </is>
      </c>
      <c r="B352" s="3" t="n">
        <v>46259</v>
      </c>
      <c r="C352" s="2" t="inlineStr">
        <is>
          <t>sensitive</t>
        </is>
      </c>
      <c r="D352" s="2" t="inlineStr">
        <is>
          <t>hash_sgd_f2</t>
        </is>
      </c>
      <c r="E352" s="2" t="inlineStr">
        <is>
          <t>betterdataai_ner_silver_eval_10k</t>
        </is>
      </c>
      <c r="F352" s="4" t="inlineStr">
        <is>
          <t>T1</t>
        </is>
      </c>
      <c r="G352" s="5" t="n">
        <v>1000</v>
      </c>
      <c r="H352" s="6" t="n"/>
      <c r="I352" s="6" t="n"/>
      <c r="J352" s="6" t="n"/>
      <c r="K352" s="7" t="n"/>
      <c r="L352" s="8" t="n"/>
      <c r="M352" s="4" t="inlineStr"/>
      <c r="N352" s="9">
        <f>IFERROR(IF(P352&lt;&gt;"",IF(INDEX($P$2:$P$417,MATCH($M352,$A$2:$A$417,0))="","",P352-INDEX($P$2:$P$417,MATCH($M352,$A$2:$A$417,0))),IF(H352&lt;&gt;"",IF(INDEX($H$2:$H$417,MATCH($M352,$A$2:$A$417,0))="","",H352-INDEX($H$2:$H$417,MATCH($M352,$A$2:$A$417,0))),IF(O352&lt;&gt;"",IF(INDEX($O$2:$O$417,MATCH($M352,$A$2:$A$417,0))="","",O352-INDEX($O$2:$O$417,MATCH($M352,$A$2:$A$417,0))),IF(Q352&lt;&gt;"",IF(INDEX($Q$2:$Q$417,MATCH($M352,$A$2:$A$417,0))="","",Q352-INDEX($Q$2:$Q$417,MATCH($M352,$A$2:$A$417,0))),"")))),"")</f>
        <v/>
      </c>
      <c r="O352" s="6" t="n"/>
      <c r="P352" s="6" t="n">
        <v>0.2291036588973213</v>
      </c>
      <c r="Q352" s="6" t="n">
        <v>0.5118565359154233</v>
      </c>
      <c r="R352" s="6" t="n"/>
      <c r="S352" s="6" t="n"/>
      <c r="T352" s="6" t="n"/>
      <c r="U352" s="6" t="n"/>
      <c r="V352" s="6" t="n"/>
      <c r="W352" s="6" t="n"/>
      <c r="X352" s="6" t="n"/>
      <c r="Y352" s="10" t="n"/>
      <c r="Z352" s="10" t="n"/>
      <c r="AA352" s="6" t="n"/>
      <c r="AB352" s="11" t="inlineStr">
        <is>
          <t>1,000-trial multi-family search and read-depth sweep</t>
        </is>
      </c>
      <c r="AC352" s="11" t="inlineStr">
        <is>
          <t>collapsed-taxonomy diagnostic: macro F2 0.2534 (+0.0242)</t>
        </is>
      </c>
    </row>
    <row r="353" ht="28" customHeight="1">
      <c r="A353" s="12" t="inlineStr">
        <is>
          <t>R7.21</t>
        </is>
      </c>
      <c r="B353" s="13" t="n">
        <v>46259</v>
      </c>
      <c r="C353" s="12" t="inlineStr">
        <is>
          <t>sensitive</t>
        </is>
      </c>
      <c r="D353" s="12" t="inlineStr">
        <is>
          <t>hash_sgd_f2</t>
        </is>
      </c>
      <c r="E353" s="12" t="inlineStr">
        <is>
          <t>nemotron_eval_6k</t>
        </is>
      </c>
      <c r="F353" s="14" t="inlineStr">
        <is>
          <t>T1</t>
        </is>
      </c>
      <c r="G353" s="15" t="n">
        <v>1000</v>
      </c>
      <c r="H353" s="16" t="n"/>
      <c r="I353" s="16" t="n"/>
      <c r="J353" s="16" t="n"/>
      <c r="K353" s="17" t="n"/>
      <c r="L353" s="18" t="n"/>
      <c r="M353" s="14" t="inlineStr"/>
      <c r="N353" s="19">
        <f>IFERROR(IF(P353&lt;&gt;"",IF(INDEX($P$2:$P$417,MATCH($M353,$A$2:$A$417,0))="","",P353-INDEX($P$2:$P$417,MATCH($M353,$A$2:$A$417,0))),IF(H353&lt;&gt;"",IF(INDEX($H$2:$H$417,MATCH($M353,$A$2:$A$417,0))="","",H353-INDEX($H$2:$H$417,MATCH($M353,$A$2:$A$417,0))),IF(O353&lt;&gt;"",IF(INDEX($O$2:$O$417,MATCH($M353,$A$2:$A$417,0))="","",O353-INDEX($O$2:$O$417,MATCH($M353,$A$2:$A$417,0))),IF(Q353&lt;&gt;"",IF(INDEX($Q$2:$Q$417,MATCH($M353,$A$2:$A$417,0))="","",Q353-INDEX($Q$2:$Q$417,MATCH($M353,$A$2:$A$417,0))),"")))),"")</f>
        <v/>
      </c>
      <c r="O353" s="16" t="n"/>
      <c r="P353" s="16" t="n"/>
      <c r="Q353" s="16" t="n"/>
      <c r="R353" s="16" t="n"/>
      <c r="S353" s="16" t="n"/>
      <c r="T353" s="16" t="n"/>
      <c r="U353" s="16" t="n"/>
      <c r="V353" s="16" t="n"/>
      <c r="W353" s="16" t="n"/>
      <c r="X353" s="16" t="n"/>
      <c r="Y353" s="20" t="n"/>
      <c r="Z353" s="20" t="n"/>
      <c r="AA353" s="16" t="n"/>
      <c r="AB353" s="21" t="inlineStr">
        <is>
          <t>1,000-trial multi-family search and read-depth sweep</t>
        </is>
      </c>
      <c r="AC353" s="21" t="inlineStr">
        <is>
          <t>Priority and effective-latency gates pass; macro-F2 target misses; package for research/internal use</t>
        </is>
      </c>
    </row>
    <row r="354" ht="28" customHeight="1">
      <c r="A354" s="2" t="inlineStr">
        <is>
          <t>R7.22</t>
        </is>
      </c>
      <c r="B354" s="3" t="n">
        <v>46259</v>
      </c>
      <c r="C354" s="2" t="inlineStr">
        <is>
          <t>sensitive</t>
        </is>
      </c>
      <c r="D354" s="2" t="inlineStr">
        <is>
          <t>hash_sgd_f2</t>
        </is>
      </c>
      <c r="E354" s="2" t="inlineStr">
        <is>
          <t>openpii_pii_eval_38k</t>
        </is>
      </c>
      <c r="F354" s="4" t="inlineStr">
        <is>
          <t>T1</t>
        </is>
      </c>
      <c r="G354" s="5" t="n">
        <v>1000</v>
      </c>
      <c r="H354" s="6" t="n"/>
      <c r="I354" s="6" t="n"/>
      <c r="J354" s="6" t="n"/>
      <c r="K354" s="7" t="n"/>
      <c r="L354" s="8" t="n"/>
      <c r="M354" s="4" t="inlineStr"/>
      <c r="N354" s="9">
        <f>IFERROR(IF(P354&lt;&gt;"",IF(INDEX($P$2:$P$417,MATCH($M354,$A$2:$A$417,0))="","",P354-INDEX($P$2:$P$417,MATCH($M354,$A$2:$A$417,0))),IF(H354&lt;&gt;"",IF(INDEX($H$2:$H$417,MATCH($M354,$A$2:$A$417,0))="","",H354-INDEX($H$2:$H$417,MATCH($M354,$A$2:$A$417,0))),IF(O354&lt;&gt;"",IF(INDEX($O$2:$O$417,MATCH($M354,$A$2:$A$417,0))="","",O354-INDEX($O$2:$O$417,MATCH($M354,$A$2:$A$417,0))),IF(Q354&lt;&gt;"",IF(INDEX($Q$2:$Q$417,MATCH($M354,$A$2:$A$417,0))="","",Q354-INDEX($Q$2:$Q$417,MATCH($M354,$A$2:$A$417,0))),"")))),"")</f>
        <v/>
      </c>
      <c r="O354" s="6" t="n"/>
      <c r="P354" s="6" t="n">
        <v>0.63899711824613</v>
      </c>
      <c r="Q354" s="6" t="n">
        <v>0.7459693859749684</v>
      </c>
      <c r="R354" s="6" t="n"/>
      <c r="S354" s="6" t="n"/>
      <c r="T354" s="6" t="n"/>
      <c r="U354" s="6" t="n"/>
      <c r="V354" s="6" t="n"/>
      <c r="W354" s="6" t="n"/>
      <c r="X354" s="6" t="n"/>
      <c r="Y354" s="10" t="n"/>
      <c r="Z354" s="10" t="n"/>
      <c r="AA354" s="6" t="n"/>
      <c r="AB354" s="11" t="inlineStr">
        <is>
          <t>1,000-trial multi-family search and read-depth sweep</t>
        </is>
      </c>
      <c r="AC354" s="11" t="inlineStr">
        <is>
          <t>collapsed-taxonomy diagnostic: macro F2 0.6106 (-0.0284)</t>
        </is>
      </c>
    </row>
    <row r="355" ht="28" customHeight="1">
      <c r="A355" s="12" t="inlineStr">
        <is>
          <t>R7.23</t>
        </is>
      </c>
      <c r="B355" s="13" t="n">
        <v>46259</v>
      </c>
      <c r="C355" s="12" t="inlineStr">
        <is>
          <t>sensitive</t>
        </is>
      </c>
      <c r="D355" s="12" t="inlineStr">
        <is>
          <t>hash_sgd_f2</t>
        </is>
      </c>
      <c r="E355" s="12" t="inlineStr">
        <is>
          <t>pii2_eval_30k</t>
        </is>
      </c>
      <c r="F355" s="14" t="inlineStr">
        <is>
          <t>T1</t>
        </is>
      </c>
      <c r="G355" s="15" t="n">
        <v>1000</v>
      </c>
      <c r="H355" s="16" t="n"/>
      <c r="I355" s="16" t="n"/>
      <c r="J355" s="16" t="n"/>
      <c r="K355" s="17" t="n"/>
      <c r="L355" s="18" t="n"/>
      <c r="M355" s="14" t="inlineStr"/>
      <c r="N355" s="19">
        <f>IFERROR(IF(P355&lt;&gt;"",IF(INDEX($P$2:$P$417,MATCH($M355,$A$2:$A$417,0))="","",P355-INDEX($P$2:$P$417,MATCH($M355,$A$2:$A$417,0))),IF(H355&lt;&gt;"",IF(INDEX($H$2:$H$417,MATCH($M355,$A$2:$A$417,0))="","",H355-INDEX($H$2:$H$417,MATCH($M355,$A$2:$A$417,0))),IF(O355&lt;&gt;"",IF(INDEX($O$2:$O$417,MATCH($M355,$A$2:$A$417,0))="","",O355-INDEX($O$2:$O$417,MATCH($M355,$A$2:$A$417,0))),IF(Q355&lt;&gt;"",IF(INDEX($Q$2:$Q$417,MATCH($M355,$A$2:$A$417,0))="","",Q355-INDEX($Q$2:$Q$417,MATCH($M355,$A$2:$A$417,0))),"")))),"")</f>
        <v/>
      </c>
      <c r="O355" s="16" t="n"/>
      <c r="P355" s="16" t="n">
        <v>0.4494762356346536</v>
      </c>
      <c r="Q355" s="16" t="n">
        <v>0.2741660961408432</v>
      </c>
      <c r="R355" s="16" t="n"/>
      <c r="S355" s="16" t="n"/>
      <c r="T355" s="16" t="n"/>
      <c r="U355" s="16" t="n"/>
      <c r="V355" s="16" t="n"/>
      <c r="W355" s="16" t="n"/>
      <c r="X355" s="16" t="n"/>
      <c r="Y355" s="20" t="n"/>
      <c r="Z355" s="20" t="n"/>
      <c r="AA355" s="16" t="n"/>
      <c r="AB355" s="21" t="inlineStr">
        <is>
          <t>1,000-trial multi-family search and read-depth sweep</t>
        </is>
      </c>
      <c r="AC355" s="21" t="inlineStr">
        <is>
          <t>collapsed-taxonomy diagnostic: macro F2 0.4330 (-0.0165)</t>
        </is>
      </c>
    </row>
    <row r="356" ht="28" customHeight="1">
      <c r="A356" s="2" t="inlineStr">
        <is>
          <t>R7.24</t>
        </is>
      </c>
      <c r="B356" s="3" t="n">
        <v>46259</v>
      </c>
      <c r="C356" s="2" t="inlineStr">
        <is>
          <t>sensitive</t>
        </is>
      </c>
      <c r="D356" s="2" t="inlineStr">
        <is>
          <t>hash_sgd_f2</t>
        </is>
      </c>
      <c r="E356" s="2" t="inlineStr">
        <is>
          <t>pii_holdout_20k</t>
        </is>
      </c>
      <c r="F356" s="4" t="inlineStr">
        <is>
          <t>T1</t>
        </is>
      </c>
      <c r="G356" s="5" t="n">
        <v>1000</v>
      </c>
      <c r="H356" s="6" t="n"/>
      <c r="I356" s="6" t="n"/>
      <c r="J356" s="6" t="n"/>
      <c r="K356" s="7" t="n"/>
      <c r="L356" s="8" t="n"/>
      <c r="M356" s="4" t="inlineStr"/>
      <c r="N356" s="9">
        <f>IFERROR(IF(P356&lt;&gt;"",IF(INDEX($P$2:$P$417,MATCH($M356,$A$2:$A$417,0))="","",P356-INDEX($P$2:$P$417,MATCH($M356,$A$2:$A$417,0))),IF(H356&lt;&gt;"",IF(INDEX($H$2:$H$417,MATCH($M356,$A$2:$A$417,0))="","",H356-INDEX($H$2:$H$417,MATCH($M356,$A$2:$A$417,0))),IF(O356&lt;&gt;"",IF(INDEX($O$2:$O$417,MATCH($M356,$A$2:$A$417,0))="","",O356-INDEX($O$2:$O$417,MATCH($M356,$A$2:$A$417,0))),IF(Q356&lt;&gt;"",IF(INDEX($Q$2:$Q$417,MATCH($M356,$A$2:$A$417,0))="","",Q356-INDEX($Q$2:$Q$417,MATCH($M356,$A$2:$A$417,0))),"")))),"")</f>
        <v/>
      </c>
      <c r="O356" s="6" t="n"/>
      <c r="P356" s="6" t="n">
        <v>0.5757076258393298</v>
      </c>
      <c r="Q356" s="6" t="n">
        <v>0.5435147098484977</v>
      </c>
      <c r="R356" s="6" t="n"/>
      <c r="S356" s="6" t="n"/>
      <c r="T356" s="6" t="n"/>
      <c r="U356" s="6" t="n"/>
      <c r="V356" s="6" t="n"/>
      <c r="W356" s="6" t="n"/>
      <c r="X356" s="6" t="n"/>
      <c r="Y356" s="10" t="n"/>
      <c r="Z356" s="10" t="n"/>
      <c r="AA356" s="6" t="n"/>
      <c r="AB356" s="11" t="inlineStr">
        <is>
          <t>1,000-trial multi-family search and read-depth sweep</t>
        </is>
      </c>
      <c r="AC356" s="11" t="inlineStr">
        <is>
          <t>collapsed-taxonomy diagnostic: macro F2 0.5607 (-0.0150)</t>
        </is>
      </c>
    </row>
    <row r="357" ht="28" customHeight="1">
      <c r="A357" s="12" t="inlineStr">
        <is>
          <t>R7.25</t>
        </is>
      </c>
      <c r="B357" s="13" t="n">
        <v>46259</v>
      </c>
      <c r="C357" s="12" t="inlineStr">
        <is>
          <t>sensitive</t>
        </is>
      </c>
      <c r="D357" s="12" t="inlineStr">
        <is>
          <t>hybrid_priority_001</t>
        </is>
      </c>
      <c r="E357" s="12" t="inlineStr">
        <is>
          <t>4000_datax-dualjudge-evalset-1.32k</t>
        </is>
      </c>
      <c r="F357" s="14" t="inlineStr">
        <is>
          <t>T1</t>
        </is>
      </c>
      <c r="G357" s="15" t="n">
        <v>1000</v>
      </c>
      <c r="H357" s="16" t="n"/>
      <c r="I357" s="16" t="n"/>
      <c r="J357" s="16" t="n"/>
      <c r="K357" s="17" t="n"/>
      <c r="L357" s="18" t="n"/>
      <c r="M357" s="14" t="inlineStr"/>
      <c r="N357" s="19">
        <f>IFERROR(IF(P357&lt;&gt;"",IF(INDEX($P$2:$P$417,MATCH($M357,$A$2:$A$417,0))="","",P357-INDEX($P$2:$P$417,MATCH($M357,$A$2:$A$417,0))),IF(H357&lt;&gt;"",IF(INDEX($H$2:$H$417,MATCH($M357,$A$2:$A$417,0))="","",H357-INDEX($H$2:$H$417,MATCH($M357,$A$2:$A$417,0))),IF(O357&lt;&gt;"",IF(INDEX($O$2:$O$417,MATCH($M357,$A$2:$A$417,0))="","",O357-INDEX($O$2:$O$417,MATCH($M357,$A$2:$A$417,0))),IF(Q357&lt;&gt;"",IF(INDEX($Q$2:$Q$417,MATCH($M357,$A$2:$A$417,0))="","",Q357-INDEX($Q$2:$Q$417,MATCH($M357,$A$2:$A$417,0))),"")))),"")</f>
        <v/>
      </c>
      <c r="O357" s="16" t="n"/>
      <c r="P357" s="16" t="n"/>
      <c r="Q357" s="16" t="n"/>
      <c r="R357" s="16" t="n"/>
      <c r="S357" s="16" t="n"/>
      <c r="T357" s="16" t="n"/>
      <c r="U357" s="16" t="n"/>
      <c r="V357" s="16" t="n"/>
      <c r="W357" s="16" t="n"/>
      <c r="X357" s="16" t="n"/>
      <c r="Y357" s="20" t="n"/>
      <c r="Z357" s="20" t="n"/>
      <c r="AA357" s="16" t="n"/>
      <c r="AB357" s="21" t="inlineStr">
        <is>
          <t>1,000-trial multi-family search and read-depth sweep</t>
        </is>
      </c>
      <c r="AC357" s="21" t="inlineStr">
        <is>
          <t>Priority and effective-latency gates pass; macro-F2 target misses; package for research/internal use</t>
        </is>
      </c>
    </row>
    <row r="358" ht="28" customHeight="1">
      <c r="A358" s="2" t="inlineStr">
        <is>
          <t>R7.26</t>
        </is>
      </c>
      <c r="B358" s="3" t="n">
        <v>46259</v>
      </c>
      <c r="C358" s="2" t="inlineStr">
        <is>
          <t>sensitive</t>
        </is>
      </c>
      <c r="D358" s="2" t="inlineStr">
        <is>
          <t>hybrid_priority_001</t>
        </is>
      </c>
      <c r="E358" s="2" t="inlineStr">
        <is>
          <t>6589_govdocs2-dualjudge-eval20-3.53k</t>
        </is>
      </c>
      <c r="F358" s="4" t="inlineStr">
        <is>
          <t>T1</t>
        </is>
      </c>
      <c r="G358" s="5" t="n">
        <v>1000</v>
      </c>
      <c r="H358" s="6" t="n"/>
      <c r="I358" s="6" t="n"/>
      <c r="J358" s="6" t="n"/>
      <c r="K358" s="7" t="n"/>
      <c r="L358" s="8" t="n"/>
      <c r="M358" s="4" t="inlineStr"/>
      <c r="N358" s="9">
        <f>IFERROR(IF(P358&lt;&gt;"",IF(INDEX($P$2:$P$417,MATCH($M358,$A$2:$A$417,0))="","",P358-INDEX($P$2:$P$417,MATCH($M358,$A$2:$A$417,0))),IF(H358&lt;&gt;"",IF(INDEX($H$2:$H$417,MATCH($M358,$A$2:$A$417,0))="","",H358-INDEX($H$2:$H$417,MATCH($M358,$A$2:$A$417,0))),IF(O358&lt;&gt;"",IF(INDEX($O$2:$O$417,MATCH($M358,$A$2:$A$417,0))="","",O358-INDEX($O$2:$O$417,MATCH($M358,$A$2:$A$417,0))),IF(Q358&lt;&gt;"",IF(INDEX($Q$2:$Q$417,MATCH($M358,$A$2:$A$417,0))="","",Q358-INDEX($Q$2:$Q$417,MATCH($M358,$A$2:$A$417,0))),"")))),"")</f>
        <v/>
      </c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  <c r="X358" s="6" t="n"/>
      <c r="Y358" s="10" t="n"/>
      <c r="Z358" s="10" t="n"/>
      <c r="AA358" s="6" t="n"/>
      <c r="AB358" s="11" t="inlineStr">
        <is>
          <t>1,000-trial multi-family search and read-depth sweep</t>
        </is>
      </c>
      <c r="AC358" s="11" t="inlineStr">
        <is>
          <t>Priority and effective-latency gates pass; macro-F2 target misses; package for research/internal use</t>
        </is>
      </c>
    </row>
    <row r="359" ht="28" customHeight="1">
      <c r="A359" s="12" t="inlineStr">
        <is>
          <t>R7.27</t>
        </is>
      </c>
      <c r="B359" s="13" t="n">
        <v>46259</v>
      </c>
      <c r="C359" s="12" t="inlineStr">
        <is>
          <t>sensitive</t>
        </is>
      </c>
      <c r="D359" s="12" t="inlineStr">
        <is>
          <t>hybrid_priority_001</t>
        </is>
      </c>
      <c r="E359" s="12" t="inlineStr">
        <is>
          <t>ai4privacy_pii_masking_eval_10k</t>
        </is>
      </c>
      <c r="F359" s="14" t="inlineStr">
        <is>
          <t>T1</t>
        </is>
      </c>
      <c r="G359" s="15" t="n">
        <v>1000</v>
      </c>
      <c r="H359" s="16" t="n"/>
      <c r="I359" s="16" t="n"/>
      <c r="J359" s="16" t="n"/>
      <c r="K359" s="17" t="n"/>
      <c r="L359" s="18" t="n"/>
      <c r="M359" s="14" t="inlineStr"/>
      <c r="N359" s="19">
        <f>IFERROR(IF(P359&lt;&gt;"",IF(INDEX($P$2:$P$417,MATCH($M359,$A$2:$A$417,0))="","",P359-INDEX($P$2:$P$417,MATCH($M359,$A$2:$A$417,0))),IF(H359&lt;&gt;"",IF(INDEX($H$2:$H$417,MATCH($M359,$A$2:$A$417,0))="","",H359-INDEX($H$2:$H$417,MATCH($M359,$A$2:$A$417,0))),IF(O359&lt;&gt;"",IF(INDEX($O$2:$O$417,MATCH($M359,$A$2:$A$417,0))="","",O359-INDEX($O$2:$O$417,MATCH($M359,$A$2:$A$417,0))),IF(Q359&lt;&gt;"",IF(INDEX($Q$2:$Q$417,MATCH($M359,$A$2:$A$417,0))="","",Q359-INDEX($Q$2:$Q$417,MATCH($M359,$A$2:$A$417,0))),"")))),"")</f>
        <v/>
      </c>
      <c r="O359" s="16" t="n"/>
      <c r="P359" s="16" t="n">
        <v>0.47750068217468</v>
      </c>
      <c r="Q359" s="16" t="n">
        <v>0.3455133823231983</v>
      </c>
      <c r="R359" s="16" t="n"/>
      <c r="S359" s="16" t="n"/>
      <c r="T359" s="16" t="n"/>
      <c r="U359" s="16" t="n"/>
      <c r="V359" s="16" t="n"/>
      <c r="W359" s="16" t="n"/>
      <c r="X359" s="16" t="n"/>
      <c r="Y359" s="20" t="n"/>
      <c r="Z359" s="20" t="n"/>
      <c r="AA359" s="16" t="n"/>
      <c r="AB359" s="21" t="inlineStr">
        <is>
          <t>1,000-trial multi-family search and read-depth sweep</t>
        </is>
      </c>
      <c r="AC359" s="21" t="inlineStr">
        <is>
          <t>collapsed-taxonomy diagnostic: macro F2 0.4989 (+0.0214)</t>
        </is>
      </c>
    </row>
    <row r="360" ht="28" customHeight="1">
      <c r="A360" s="2" t="inlineStr">
        <is>
          <t>R7.28</t>
        </is>
      </c>
      <c r="B360" s="3" t="n">
        <v>46259</v>
      </c>
      <c r="C360" s="2" t="inlineStr">
        <is>
          <t>sensitive</t>
        </is>
      </c>
      <c r="D360" s="2" t="inlineStr">
        <is>
          <t>hybrid_priority_001</t>
        </is>
      </c>
      <c r="E360" s="2" t="inlineStr">
        <is>
          <t>betterdataai_ner_silver_eval_10k</t>
        </is>
      </c>
      <c r="F360" s="4" t="inlineStr">
        <is>
          <t>T1</t>
        </is>
      </c>
      <c r="G360" s="5" t="n">
        <v>1000</v>
      </c>
      <c r="H360" s="6" t="n"/>
      <c r="I360" s="6" t="n"/>
      <c r="J360" s="6" t="n"/>
      <c r="K360" s="7" t="n"/>
      <c r="L360" s="8" t="n"/>
      <c r="M360" s="4" t="inlineStr"/>
      <c r="N360" s="9">
        <f>IFERROR(IF(P360&lt;&gt;"",IF(INDEX($P$2:$P$417,MATCH($M360,$A$2:$A$417,0))="","",P360-INDEX($P$2:$P$417,MATCH($M360,$A$2:$A$417,0))),IF(H360&lt;&gt;"",IF(INDEX($H$2:$H$417,MATCH($M360,$A$2:$A$417,0))="","",H360-INDEX($H$2:$H$417,MATCH($M360,$A$2:$A$417,0))),IF(O360&lt;&gt;"",IF(INDEX($O$2:$O$417,MATCH($M360,$A$2:$A$417,0))="","",O360-INDEX($O$2:$O$417,MATCH($M360,$A$2:$A$417,0))),IF(Q360&lt;&gt;"",IF(INDEX($Q$2:$Q$417,MATCH($M360,$A$2:$A$417,0))="","",Q360-INDEX($Q$2:$Q$417,MATCH($M360,$A$2:$A$417,0))),"")))),"")</f>
        <v/>
      </c>
      <c r="O360" s="6" t="n"/>
      <c r="P360" s="6" t="n">
        <v>0.2093139895360607</v>
      </c>
      <c r="Q360" s="6" t="n">
        <v>0.2010023740437879</v>
      </c>
      <c r="R360" s="6" t="n"/>
      <c r="S360" s="6" t="n"/>
      <c r="T360" s="6" t="n"/>
      <c r="U360" s="6" t="n"/>
      <c r="V360" s="6" t="n"/>
      <c r="W360" s="6" t="n"/>
      <c r="X360" s="6" t="n"/>
      <c r="Y360" s="10" t="n"/>
      <c r="Z360" s="10" t="n"/>
      <c r="AA360" s="6" t="n"/>
      <c r="AB360" s="11" t="inlineStr">
        <is>
          <t>1,000-trial multi-family search and read-depth sweep</t>
        </is>
      </c>
      <c r="AC360" s="11" t="inlineStr">
        <is>
          <t>collapsed-taxonomy diagnostic: macro F2 0.2294 (+0.0201)</t>
        </is>
      </c>
    </row>
    <row r="361" ht="28" customHeight="1">
      <c r="A361" s="12" t="inlineStr">
        <is>
          <t>R7.29</t>
        </is>
      </c>
      <c r="B361" s="13" t="n">
        <v>46259</v>
      </c>
      <c r="C361" s="12" t="inlineStr">
        <is>
          <t>sensitive</t>
        </is>
      </c>
      <c r="D361" s="12" t="inlineStr">
        <is>
          <t>hybrid_priority_001</t>
        </is>
      </c>
      <c r="E361" s="12" t="inlineStr">
        <is>
          <t>nemotron_eval_6k</t>
        </is>
      </c>
      <c r="F361" s="14" t="inlineStr">
        <is>
          <t>T1</t>
        </is>
      </c>
      <c r="G361" s="15" t="n">
        <v>1000</v>
      </c>
      <c r="H361" s="16" t="n"/>
      <c r="I361" s="16" t="n"/>
      <c r="J361" s="16" t="n"/>
      <c r="K361" s="17" t="n"/>
      <c r="L361" s="18" t="n"/>
      <c r="M361" s="14" t="inlineStr"/>
      <c r="N361" s="19">
        <f>IFERROR(IF(P361&lt;&gt;"",IF(INDEX($P$2:$P$417,MATCH($M361,$A$2:$A$417,0))="","",P361-INDEX($P$2:$P$417,MATCH($M361,$A$2:$A$417,0))),IF(H361&lt;&gt;"",IF(INDEX($H$2:$H$417,MATCH($M361,$A$2:$A$417,0))="","",H361-INDEX($H$2:$H$417,MATCH($M361,$A$2:$A$417,0))),IF(O361&lt;&gt;"",IF(INDEX($O$2:$O$417,MATCH($M361,$A$2:$A$417,0))="","",O361-INDEX($O$2:$O$417,MATCH($M361,$A$2:$A$417,0))),IF(Q361&lt;&gt;"",IF(INDEX($Q$2:$Q$417,MATCH($M361,$A$2:$A$417,0))="","",Q361-INDEX($Q$2:$Q$417,MATCH($M361,$A$2:$A$417,0))),"")))),"")</f>
        <v/>
      </c>
      <c r="O361" s="16" t="n"/>
      <c r="P361" s="16" t="n"/>
      <c r="Q361" s="16" t="n"/>
      <c r="R361" s="16" t="n"/>
      <c r="S361" s="16" t="n"/>
      <c r="T361" s="16" t="n"/>
      <c r="U361" s="16" t="n"/>
      <c r="V361" s="16" t="n"/>
      <c r="W361" s="16" t="n"/>
      <c r="X361" s="16" t="n"/>
      <c r="Y361" s="20" t="n"/>
      <c r="Z361" s="20" t="n"/>
      <c r="AA361" s="16" t="n"/>
      <c r="AB361" s="21" t="inlineStr">
        <is>
          <t>1,000-trial multi-family search and read-depth sweep</t>
        </is>
      </c>
      <c r="AC361" s="21" t="inlineStr">
        <is>
          <t>Priority and effective-latency gates pass; macro-F2 target misses; package for research/internal use</t>
        </is>
      </c>
    </row>
    <row r="362" ht="28" customHeight="1">
      <c r="A362" s="2" t="inlineStr">
        <is>
          <t>R7.30</t>
        </is>
      </c>
      <c r="B362" s="3" t="n">
        <v>46259</v>
      </c>
      <c r="C362" s="2" t="inlineStr">
        <is>
          <t>sensitive</t>
        </is>
      </c>
      <c r="D362" s="2" t="inlineStr">
        <is>
          <t>hybrid_priority_001</t>
        </is>
      </c>
      <c r="E362" s="2" t="inlineStr">
        <is>
          <t>openpii_pii_eval_38k</t>
        </is>
      </c>
      <c r="F362" s="4" t="inlineStr">
        <is>
          <t>T1</t>
        </is>
      </c>
      <c r="G362" s="5" t="n">
        <v>1000</v>
      </c>
      <c r="H362" s="6" t="n"/>
      <c r="I362" s="6" t="n"/>
      <c r="J362" s="6" t="n"/>
      <c r="K362" s="7" t="n"/>
      <c r="L362" s="8" t="n"/>
      <c r="M362" s="4" t="inlineStr"/>
      <c r="N362" s="9">
        <f>IFERROR(IF(P362&lt;&gt;"",IF(INDEX($P$2:$P$417,MATCH($M362,$A$2:$A$417,0))="","",P362-INDEX($P$2:$P$417,MATCH($M362,$A$2:$A$417,0))),IF(H362&lt;&gt;"",IF(INDEX($H$2:$H$417,MATCH($M362,$A$2:$A$417,0))="","",H362-INDEX($H$2:$H$417,MATCH($M362,$A$2:$A$417,0))),IF(O362&lt;&gt;"",IF(INDEX($O$2:$O$417,MATCH($M362,$A$2:$A$417,0))="","",O362-INDEX($O$2:$O$417,MATCH($M362,$A$2:$A$417,0))),IF(Q362&lt;&gt;"",IF(INDEX($Q$2:$Q$417,MATCH($M362,$A$2:$A$417,0))="","",Q362-INDEX($Q$2:$Q$417,MATCH($M362,$A$2:$A$417,0))),"")))),"")</f>
        <v/>
      </c>
      <c r="O362" s="6" t="n"/>
      <c r="P362" s="6" t="n">
        <v>0.6105419594869257</v>
      </c>
      <c r="Q362" s="6" t="n">
        <v>0.655087723543371</v>
      </c>
      <c r="R362" s="6" t="n"/>
      <c r="S362" s="6" t="n"/>
      <c r="T362" s="6" t="n"/>
      <c r="U362" s="6" t="n"/>
      <c r="V362" s="6" t="n"/>
      <c r="W362" s="6" t="n"/>
      <c r="X362" s="6" t="n"/>
      <c r="Y362" s="10" t="n"/>
      <c r="Z362" s="10" t="n"/>
      <c r="AA362" s="6" t="n"/>
      <c r="AB362" s="11" t="inlineStr">
        <is>
          <t>1,000-trial multi-family search and read-depth sweep</t>
        </is>
      </c>
      <c r="AC362" s="11" t="inlineStr">
        <is>
          <t>collapsed-taxonomy diagnostic: macro F2 0.5784 (-0.0322)</t>
        </is>
      </c>
    </row>
    <row r="363" ht="28" customHeight="1">
      <c r="A363" s="12" t="inlineStr">
        <is>
          <t>R7.31</t>
        </is>
      </c>
      <c r="B363" s="13" t="n">
        <v>46259</v>
      </c>
      <c r="C363" s="12" t="inlineStr">
        <is>
          <t>sensitive</t>
        </is>
      </c>
      <c r="D363" s="12" t="inlineStr">
        <is>
          <t>hybrid_priority_001</t>
        </is>
      </c>
      <c r="E363" s="12" t="inlineStr">
        <is>
          <t>pii2_eval_30k</t>
        </is>
      </c>
      <c r="F363" s="14" t="inlineStr">
        <is>
          <t>T1</t>
        </is>
      </c>
      <c r="G363" s="15" t="n">
        <v>1000</v>
      </c>
      <c r="H363" s="16" t="n"/>
      <c r="I363" s="16" t="n"/>
      <c r="J363" s="16" t="n"/>
      <c r="K363" s="17" t="n"/>
      <c r="L363" s="18" t="n"/>
      <c r="M363" s="14" t="inlineStr"/>
      <c r="N363" s="19">
        <f>IFERROR(IF(P363&lt;&gt;"",IF(INDEX($P$2:$P$417,MATCH($M363,$A$2:$A$417,0))="","",P363-INDEX($P$2:$P$417,MATCH($M363,$A$2:$A$417,0))),IF(H363&lt;&gt;"",IF(INDEX($H$2:$H$417,MATCH($M363,$A$2:$A$417,0))="","",H363-INDEX($H$2:$H$417,MATCH($M363,$A$2:$A$417,0))),IF(O363&lt;&gt;"",IF(INDEX($O$2:$O$417,MATCH($M363,$A$2:$A$417,0))="","",O363-INDEX($O$2:$O$417,MATCH($M363,$A$2:$A$417,0))),IF(Q363&lt;&gt;"",IF(INDEX($Q$2:$Q$417,MATCH($M363,$A$2:$A$417,0))="","",Q363-INDEX($Q$2:$Q$417,MATCH($M363,$A$2:$A$417,0))),"")))),"")</f>
        <v/>
      </c>
      <c r="O363" s="16" t="n"/>
      <c r="P363" s="16" t="n">
        <v>0.4069594705030601</v>
      </c>
      <c r="Q363" s="16" t="n">
        <v>0.1773906461265047</v>
      </c>
      <c r="R363" s="16" t="n"/>
      <c r="S363" s="16" t="n"/>
      <c r="T363" s="16" t="n"/>
      <c r="U363" s="16" t="n"/>
      <c r="V363" s="16" t="n"/>
      <c r="W363" s="16" t="n"/>
      <c r="X363" s="16" t="n"/>
      <c r="Y363" s="20" t="n"/>
      <c r="Z363" s="20" t="n"/>
      <c r="AA363" s="16" t="n"/>
      <c r="AB363" s="21" t="inlineStr">
        <is>
          <t>1,000-trial multi-family search and read-depth sweep</t>
        </is>
      </c>
      <c r="AC363" s="21" t="inlineStr">
        <is>
          <t>collapsed-taxonomy diagnostic: macro F2 0.3874 (-0.0196)</t>
        </is>
      </c>
    </row>
    <row r="364" ht="28" customHeight="1">
      <c r="A364" s="2" t="inlineStr">
        <is>
          <t>R7.32</t>
        </is>
      </c>
      <c r="B364" s="3" t="n">
        <v>46259</v>
      </c>
      <c r="C364" s="2" t="inlineStr">
        <is>
          <t>sensitive</t>
        </is>
      </c>
      <c r="D364" s="2" t="inlineStr">
        <is>
          <t>hybrid_priority_001</t>
        </is>
      </c>
      <c r="E364" s="2" t="inlineStr">
        <is>
          <t>pii_holdout_20k</t>
        </is>
      </c>
      <c r="F364" s="4" t="inlineStr">
        <is>
          <t>T1</t>
        </is>
      </c>
      <c r="G364" s="5" t="n">
        <v>1000</v>
      </c>
      <c r="H364" s="6" t="n"/>
      <c r="I364" s="6" t="n"/>
      <c r="J364" s="6" t="n"/>
      <c r="K364" s="7" t="n"/>
      <c r="L364" s="8" t="n"/>
      <c r="M364" s="4" t="inlineStr"/>
      <c r="N364" s="9">
        <f>IFERROR(IF(P364&lt;&gt;"",IF(INDEX($P$2:$P$417,MATCH($M364,$A$2:$A$417,0))="","",P364-INDEX($P$2:$P$417,MATCH($M364,$A$2:$A$417,0))),IF(H364&lt;&gt;"",IF(INDEX($H$2:$H$417,MATCH($M364,$A$2:$A$417,0))="","",H364-INDEX($H$2:$H$417,MATCH($M364,$A$2:$A$417,0))),IF(O364&lt;&gt;"",IF(INDEX($O$2:$O$417,MATCH($M364,$A$2:$A$417,0))="","",O364-INDEX($O$2:$O$417,MATCH($M364,$A$2:$A$417,0))),IF(Q364&lt;&gt;"",IF(INDEX($Q$2:$Q$417,MATCH($M364,$A$2:$A$417,0))="","",Q364-INDEX($Q$2:$Q$417,MATCH($M364,$A$2:$A$417,0))),"")))),"")</f>
        <v/>
      </c>
      <c r="O364" s="6" t="n"/>
      <c r="P364" s="6" t="n">
        <v>0.5289234844167493</v>
      </c>
      <c r="Q364" s="6" t="n">
        <v>0.4380537483864411</v>
      </c>
      <c r="R364" s="6" t="n"/>
      <c r="S364" s="6" t="n"/>
      <c r="T364" s="6" t="n"/>
      <c r="U364" s="6" t="n"/>
      <c r="V364" s="6" t="n"/>
      <c r="W364" s="6" t="n"/>
      <c r="X364" s="6" t="n"/>
      <c r="Y364" s="10" t="n"/>
      <c r="Z364" s="10" t="n"/>
      <c r="AA364" s="6" t="n"/>
      <c r="AB364" s="11" t="inlineStr">
        <is>
          <t>1,000-trial multi-family search and read-depth sweep</t>
        </is>
      </c>
      <c r="AC364" s="11" t="inlineStr">
        <is>
          <t>collapsed-taxonomy diagnostic: macro F2 0.5103 (-0.0186)</t>
        </is>
      </c>
    </row>
    <row r="365" ht="28" customHeight="1">
      <c r="A365" s="12" t="inlineStr">
        <is>
          <t>R7.33</t>
        </is>
      </c>
      <c r="B365" s="13" t="n">
        <v>46259</v>
      </c>
      <c r="C365" s="12" t="inlineStr">
        <is>
          <t>sensitive</t>
        </is>
      </c>
      <c r="D365" s="12" t="inlineStr">
        <is>
          <t>tfidf_linear</t>
        </is>
      </c>
      <c r="E365" s="12" t="inlineStr">
        <is>
          <t>4000_datax-dualjudge-evalset-1.32k</t>
        </is>
      </c>
      <c r="F365" s="14" t="inlineStr">
        <is>
          <t>T1</t>
        </is>
      </c>
      <c r="G365" s="15" t="n">
        <v>1000</v>
      </c>
      <c r="H365" s="16" t="n"/>
      <c r="I365" s="16" t="n"/>
      <c r="J365" s="16" t="n"/>
      <c r="K365" s="17" t="n"/>
      <c r="L365" s="18" t="n"/>
      <c r="M365" s="14" t="inlineStr"/>
      <c r="N365" s="19">
        <f>IFERROR(IF(P365&lt;&gt;"",IF(INDEX($P$2:$P$417,MATCH($M365,$A$2:$A$417,0))="","",P365-INDEX($P$2:$P$417,MATCH($M365,$A$2:$A$417,0))),IF(H365&lt;&gt;"",IF(INDEX($H$2:$H$417,MATCH($M365,$A$2:$A$417,0))="","",H365-INDEX($H$2:$H$417,MATCH($M365,$A$2:$A$417,0))),IF(O365&lt;&gt;"",IF(INDEX($O$2:$O$417,MATCH($M365,$A$2:$A$417,0))="","",O365-INDEX($O$2:$O$417,MATCH($M365,$A$2:$A$417,0))),IF(Q365&lt;&gt;"",IF(INDEX($Q$2:$Q$417,MATCH($M365,$A$2:$A$417,0))="","",Q365-INDEX($Q$2:$Q$417,MATCH($M365,$A$2:$A$417,0))),"")))),"")</f>
        <v/>
      </c>
      <c r="O365" s="16" t="n"/>
      <c r="P365" s="16" t="n"/>
      <c r="Q365" s="16" t="n"/>
      <c r="R365" s="16" t="n"/>
      <c r="S365" s="16" t="n"/>
      <c r="T365" s="16" t="n"/>
      <c r="U365" s="16" t="n"/>
      <c r="V365" s="16" t="n"/>
      <c r="W365" s="16" t="n"/>
      <c r="X365" s="16" t="n"/>
      <c r="Y365" s="20" t="n"/>
      <c r="Z365" s="20" t="n"/>
      <c r="AA365" s="16" t="n"/>
      <c r="AB365" s="21" t="inlineStr">
        <is>
          <t>1,000-trial multi-family search and read-depth sweep</t>
        </is>
      </c>
      <c r="AC365" s="21" t="inlineStr">
        <is>
          <t>Priority and effective-latency gates pass; macro-F2 target misses; package for research/internal use</t>
        </is>
      </c>
    </row>
    <row r="366" ht="28" customHeight="1">
      <c r="A366" s="2" t="inlineStr">
        <is>
          <t>R7.34</t>
        </is>
      </c>
      <c r="B366" s="3" t="n">
        <v>46259</v>
      </c>
      <c r="C366" s="2" t="inlineStr">
        <is>
          <t>sensitive</t>
        </is>
      </c>
      <c r="D366" s="2" t="inlineStr">
        <is>
          <t>tfidf_linear</t>
        </is>
      </c>
      <c r="E366" s="2" t="inlineStr">
        <is>
          <t>6589_govdocs2-dualjudge-eval20-3.53k</t>
        </is>
      </c>
      <c r="F366" s="4" t="inlineStr">
        <is>
          <t>T1</t>
        </is>
      </c>
      <c r="G366" s="5" t="n">
        <v>1000</v>
      </c>
      <c r="H366" s="6" t="n"/>
      <c r="I366" s="6" t="n"/>
      <c r="J366" s="6" t="n"/>
      <c r="K366" s="7" t="n"/>
      <c r="L366" s="8" t="n"/>
      <c r="M366" s="4" t="inlineStr"/>
      <c r="N366" s="9">
        <f>IFERROR(IF(P366&lt;&gt;"",IF(INDEX($P$2:$P$417,MATCH($M366,$A$2:$A$417,0))="","",P366-INDEX($P$2:$P$417,MATCH($M366,$A$2:$A$417,0))),IF(H366&lt;&gt;"",IF(INDEX($H$2:$H$417,MATCH($M366,$A$2:$A$417,0))="","",H366-INDEX($H$2:$H$417,MATCH($M366,$A$2:$A$417,0))),IF(O366&lt;&gt;"",IF(INDEX($O$2:$O$417,MATCH($M366,$A$2:$A$417,0))="","",O366-INDEX($O$2:$O$417,MATCH($M366,$A$2:$A$417,0))),IF(Q366&lt;&gt;"",IF(INDEX($Q$2:$Q$417,MATCH($M366,$A$2:$A$417,0))="","",Q366-INDEX($Q$2:$Q$417,MATCH($M366,$A$2:$A$417,0))),"")))),"")</f>
        <v/>
      </c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10" t="n"/>
      <c r="Z366" s="10" t="n"/>
      <c r="AA366" s="6" t="n"/>
      <c r="AB366" s="11" t="inlineStr">
        <is>
          <t>1,000-trial multi-family search and read-depth sweep</t>
        </is>
      </c>
      <c r="AC366" s="11" t="inlineStr">
        <is>
          <t>Priority and effective-latency gates pass; macro-F2 target misses; package for research/internal use</t>
        </is>
      </c>
    </row>
    <row r="367" ht="28" customHeight="1">
      <c r="A367" s="12" t="inlineStr">
        <is>
          <t>R7.35</t>
        </is>
      </c>
      <c r="B367" s="13" t="n">
        <v>46259</v>
      </c>
      <c r="C367" s="12" t="inlineStr">
        <is>
          <t>sensitive</t>
        </is>
      </c>
      <c r="D367" s="12" t="inlineStr">
        <is>
          <t>tfidf_linear</t>
        </is>
      </c>
      <c r="E367" s="12" t="inlineStr">
        <is>
          <t>ai4privacy_pii_masking_eval_10k</t>
        </is>
      </c>
      <c r="F367" s="14" t="inlineStr">
        <is>
          <t>T1</t>
        </is>
      </c>
      <c r="G367" s="15" t="n">
        <v>1000</v>
      </c>
      <c r="H367" s="16" t="n"/>
      <c r="I367" s="16" t="n"/>
      <c r="J367" s="16" t="n"/>
      <c r="K367" s="17" t="n"/>
      <c r="L367" s="18" t="n"/>
      <c r="M367" s="14" t="inlineStr"/>
      <c r="N367" s="19">
        <f>IFERROR(IF(P367&lt;&gt;"",IF(INDEX($P$2:$P$417,MATCH($M367,$A$2:$A$417,0))="","",P367-INDEX($P$2:$P$417,MATCH($M367,$A$2:$A$417,0))),IF(H367&lt;&gt;"",IF(INDEX($H$2:$H$417,MATCH($M367,$A$2:$A$417,0))="","",H367-INDEX($H$2:$H$417,MATCH($M367,$A$2:$A$417,0))),IF(O367&lt;&gt;"",IF(INDEX($O$2:$O$417,MATCH($M367,$A$2:$A$417,0))="","",O367-INDEX($O$2:$O$417,MATCH($M367,$A$2:$A$417,0))),IF(Q367&lt;&gt;"",IF(INDEX($Q$2:$Q$417,MATCH($M367,$A$2:$A$417,0))="","",Q367-INDEX($Q$2:$Q$417,MATCH($M367,$A$2:$A$417,0))),"")))),"")</f>
        <v/>
      </c>
      <c r="O367" s="16" t="n"/>
      <c r="P367" s="16" t="n">
        <v>0.555108776428248</v>
      </c>
      <c r="Q367" s="16" t="n">
        <v>0.4672268907563025</v>
      </c>
      <c r="R367" s="16" t="n"/>
      <c r="S367" s="16" t="n"/>
      <c r="T367" s="16" t="n"/>
      <c r="U367" s="16" t="n"/>
      <c r="V367" s="16" t="n"/>
      <c r="W367" s="16" t="n"/>
      <c r="X367" s="16" t="n"/>
      <c r="Y367" s="20" t="n"/>
      <c r="Z367" s="20" t="n"/>
      <c r="AA367" s="16" t="n"/>
      <c r="AB367" s="21" t="inlineStr">
        <is>
          <t>1,000-trial multi-family search and read-depth sweep</t>
        </is>
      </c>
      <c r="AC367" s="21" t="inlineStr">
        <is>
          <t>collapsed-taxonomy diagnostic: macro F2 0.5864 (+0.0313)</t>
        </is>
      </c>
    </row>
    <row r="368" ht="28" customHeight="1">
      <c r="A368" s="2" t="inlineStr">
        <is>
          <t>R7.36</t>
        </is>
      </c>
      <c r="B368" s="3" t="n">
        <v>46259</v>
      </c>
      <c r="C368" s="2" t="inlineStr">
        <is>
          <t>sensitive</t>
        </is>
      </c>
      <c r="D368" s="2" t="inlineStr">
        <is>
          <t>tfidf_linear</t>
        </is>
      </c>
      <c r="E368" s="2" t="inlineStr">
        <is>
          <t>betterdataai_ner_silver_eval_10k</t>
        </is>
      </c>
      <c r="F368" s="4" t="inlineStr">
        <is>
          <t>T1</t>
        </is>
      </c>
      <c r="G368" s="5" t="n">
        <v>1000</v>
      </c>
      <c r="H368" s="6" t="n"/>
      <c r="I368" s="6" t="n"/>
      <c r="J368" s="6" t="n"/>
      <c r="K368" s="7" t="n"/>
      <c r="L368" s="8" t="n"/>
      <c r="M368" s="4" t="inlineStr"/>
      <c r="N368" s="9">
        <f>IFERROR(IF(P368&lt;&gt;"",IF(INDEX($P$2:$P$417,MATCH($M368,$A$2:$A$417,0))="","",P368-INDEX($P$2:$P$417,MATCH($M368,$A$2:$A$417,0))),IF(H368&lt;&gt;"",IF(INDEX($H$2:$H$417,MATCH($M368,$A$2:$A$417,0))="","",H368-INDEX($H$2:$H$417,MATCH($M368,$A$2:$A$417,0))),IF(O368&lt;&gt;"",IF(INDEX($O$2:$O$417,MATCH($M368,$A$2:$A$417,0))="","",O368-INDEX($O$2:$O$417,MATCH($M368,$A$2:$A$417,0))),IF(Q368&lt;&gt;"",IF(INDEX($Q$2:$Q$417,MATCH($M368,$A$2:$A$417,0))="","",Q368-INDEX($Q$2:$Q$417,MATCH($M368,$A$2:$A$417,0))),"")))),"")</f>
        <v/>
      </c>
      <c r="O368" s="6" t="n"/>
      <c r="P368" s="6" t="n">
        <v>0.230085640222034</v>
      </c>
      <c r="Q368" s="6" t="n">
        <v>0.483831016925829</v>
      </c>
      <c r="R368" s="6" t="n"/>
      <c r="S368" s="6" t="n"/>
      <c r="T368" s="6" t="n"/>
      <c r="U368" s="6" t="n"/>
      <c r="V368" s="6" t="n"/>
      <c r="W368" s="6" t="n"/>
      <c r="X368" s="6" t="n"/>
      <c r="Y368" s="10" t="n"/>
      <c r="Z368" s="10" t="n"/>
      <c r="AA368" s="6" t="n"/>
      <c r="AB368" s="11" t="inlineStr">
        <is>
          <t>1,000-trial multi-family search and read-depth sweep</t>
        </is>
      </c>
      <c r="AC368" s="11" t="inlineStr">
        <is>
          <t>collapsed-taxonomy diagnostic: macro F2 0.2527 (+0.0226)</t>
        </is>
      </c>
    </row>
    <row r="369" ht="28" customHeight="1">
      <c r="A369" s="12" t="inlineStr">
        <is>
          <t>R7.37</t>
        </is>
      </c>
      <c r="B369" s="13" t="n">
        <v>46259</v>
      </c>
      <c r="C369" s="12" t="inlineStr">
        <is>
          <t>sensitive</t>
        </is>
      </c>
      <c r="D369" s="12" t="inlineStr">
        <is>
          <t>tfidf_linear</t>
        </is>
      </c>
      <c r="E369" s="12" t="inlineStr">
        <is>
          <t>nemotron_eval_6k</t>
        </is>
      </c>
      <c r="F369" s="14" t="inlineStr">
        <is>
          <t>T1</t>
        </is>
      </c>
      <c r="G369" s="15" t="n">
        <v>1000</v>
      </c>
      <c r="H369" s="16" t="n"/>
      <c r="I369" s="16" t="n"/>
      <c r="J369" s="16" t="n"/>
      <c r="K369" s="17" t="n"/>
      <c r="L369" s="18" t="n"/>
      <c r="M369" s="14" t="inlineStr"/>
      <c r="N369" s="19">
        <f>IFERROR(IF(P369&lt;&gt;"",IF(INDEX($P$2:$P$417,MATCH($M369,$A$2:$A$417,0))="","",P369-INDEX($P$2:$P$417,MATCH($M369,$A$2:$A$417,0))),IF(H369&lt;&gt;"",IF(INDEX($H$2:$H$417,MATCH($M369,$A$2:$A$417,0))="","",H369-INDEX($H$2:$H$417,MATCH($M369,$A$2:$A$417,0))),IF(O369&lt;&gt;"",IF(INDEX($O$2:$O$417,MATCH($M369,$A$2:$A$417,0))="","",O369-INDEX($O$2:$O$417,MATCH($M369,$A$2:$A$417,0))),IF(Q369&lt;&gt;"",IF(INDEX($Q$2:$Q$417,MATCH($M369,$A$2:$A$417,0))="","",Q369-INDEX($Q$2:$Q$417,MATCH($M369,$A$2:$A$417,0))),"")))),"")</f>
        <v/>
      </c>
      <c r="O369" s="16" t="n"/>
      <c r="P369" s="16" t="n"/>
      <c r="Q369" s="16" t="n"/>
      <c r="R369" s="16" t="n"/>
      <c r="S369" s="16" t="n"/>
      <c r="T369" s="16" t="n"/>
      <c r="U369" s="16" t="n"/>
      <c r="V369" s="16" t="n"/>
      <c r="W369" s="16" t="n"/>
      <c r="X369" s="16" t="n"/>
      <c r="Y369" s="20" t="n"/>
      <c r="Z369" s="20" t="n"/>
      <c r="AA369" s="16" t="n"/>
      <c r="AB369" s="21" t="inlineStr">
        <is>
          <t>1,000-trial multi-family search and read-depth sweep</t>
        </is>
      </c>
      <c r="AC369" s="21" t="inlineStr">
        <is>
          <t>Priority and effective-latency gates pass; macro-F2 target misses; package for research/internal use</t>
        </is>
      </c>
    </row>
    <row r="370" ht="28" customHeight="1">
      <c r="A370" s="2" t="inlineStr">
        <is>
          <t>R7.38</t>
        </is>
      </c>
      <c r="B370" s="3" t="n">
        <v>46259</v>
      </c>
      <c r="C370" s="2" t="inlineStr">
        <is>
          <t>sensitive</t>
        </is>
      </c>
      <c r="D370" s="2" t="inlineStr">
        <is>
          <t>tfidf_linear</t>
        </is>
      </c>
      <c r="E370" s="2" t="inlineStr">
        <is>
          <t>openpii_pii_eval_38k</t>
        </is>
      </c>
      <c r="F370" s="4" t="inlineStr">
        <is>
          <t>T1</t>
        </is>
      </c>
      <c r="G370" s="5" t="n">
        <v>1000</v>
      </c>
      <c r="H370" s="6" t="n"/>
      <c r="I370" s="6" t="n"/>
      <c r="J370" s="6" t="n"/>
      <c r="K370" s="7" t="n"/>
      <c r="L370" s="8" t="n"/>
      <c r="M370" s="4" t="inlineStr"/>
      <c r="N370" s="9">
        <f>IFERROR(IF(P370&lt;&gt;"",IF(INDEX($P$2:$P$417,MATCH($M370,$A$2:$A$417,0))="","",P370-INDEX($P$2:$P$417,MATCH($M370,$A$2:$A$417,0))),IF(H370&lt;&gt;"",IF(INDEX($H$2:$H$417,MATCH($M370,$A$2:$A$417,0))="","",H370-INDEX($H$2:$H$417,MATCH($M370,$A$2:$A$417,0))),IF(O370&lt;&gt;"",IF(INDEX($O$2:$O$417,MATCH($M370,$A$2:$A$417,0))="","",O370-INDEX($O$2:$O$417,MATCH($M370,$A$2:$A$417,0))),IF(Q370&lt;&gt;"",IF(INDEX($Q$2:$Q$417,MATCH($M370,$A$2:$A$417,0))="","",Q370-INDEX($Q$2:$Q$417,MATCH($M370,$A$2:$A$417,0))),"")))),"")</f>
        <v/>
      </c>
      <c r="O370" s="6" t="n"/>
      <c r="P370" s="6" t="n">
        <v>0.6497876112996531</v>
      </c>
      <c r="Q370" s="6" t="n">
        <v>0.7431665633663413</v>
      </c>
      <c r="R370" s="6" t="n"/>
      <c r="S370" s="6" t="n"/>
      <c r="T370" s="6" t="n"/>
      <c r="U370" s="6" t="n"/>
      <c r="V370" s="6" t="n"/>
      <c r="W370" s="6" t="n"/>
      <c r="X370" s="6" t="n"/>
      <c r="Y370" s="10" t="n"/>
      <c r="Z370" s="10" t="n"/>
      <c r="AA370" s="6" t="n"/>
      <c r="AB370" s="11" t="inlineStr">
        <is>
          <t>1,000-trial multi-family search and read-depth sweep</t>
        </is>
      </c>
      <c r="AC370" s="11" t="inlineStr">
        <is>
          <t>collapsed-taxonomy diagnostic: macro F2 0.6202 (-0.0296)</t>
        </is>
      </c>
    </row>
    <row r="371" ht="28" customHeight="1">
      <c r="A371" s="12" t="inlineStr">
        <is>
          <t>R7.39</t>
        </is>
      </c>
      <c r="B371" s="13" t="n">
        <v>46259</v>
      </c>
      <c r="C371" s="12" t="inlineStr">
        <is>
          <t>sensitive</t>
        </is>
      </c>
      <c r="D371" s="12" t="inlineStr">
        <is>
          <t>tfidf_linear</t>
        </is>
      </c>
      <c r="E371" s="12" t="inlineStr">
        <is>
          <t>pii2_eval_30k</t>
        </is>
      </c>
      <c r="F371" s="14" t="inlineStr">
        <is>
          <t>T1</t>
        </is>
      </c>
      <c r="G371" s="15" t="n">
        <v>1000</v>
      </c>
      <c r="H371" s="16" t="n"/>
      <c r="I371" s="16" t="n"/>
      <c r="J371" s="16" t="n"/>
      <c r="K371" s="17" t="n"/>
      <c r="L371" s="18" t="n"/>
      <c r="M371" s="14" t="inlineStr"/>
      <c r="N371" s="19">
        <f>IFERROR(IF(P371&lt;&gt;"",IF(INDEX($P$2:$P$417,MATCH($M371,$A$2:$A$417,0))="","",P371-INDEX($P$2:$P$417,MATCH($M371,$A$2:$A$417,0))),IF(H371&lt;&gt;"",IF(INDEX($H$2:$H$417,MATCH($M371,$A$2:$A$417,0))="","",H371-INDEX($H$2:$H$417,MATCH($M371,$A$2:$A$417,0))),IF(O371&lt;&gt;"",IF(INDEX($O$2:$O$417,MATCH($M371,$A$2:$A$417,0))="","",O371-INDEX($O$2:$O$417,MATCH($M371,$A$2:$A$417,0))),IF(Q371&lt;&gt;"",IF(INDEX($Q$2:$Q$417,MATCH($M371,$A$2:$A$417,0))="","",Q371-INDEX($Q$2:$Q$417,MATCH($M371,$A$2:$A$417,0))),"")))),"")</f>
        <v/>
      </c>
      <c r="O371" s="16" t="n"/>
      <c r="P371" s="16" t="n">
        <v>0.4090290775016811</v>
      </c>
      <c r="Q371" s="16" t="n">
        <v>0.2489250584274887</v>
      </c>
      <c r="R371" s="16" t="n"/>
      <c r="S371" s="16" t="n"/>
      <c r="T371" s="16" t="n"/>
      <c r="U371" s="16" t="n"/>
      <c r="V371" s="16" t="n"/>
      <c r="W371" s="16" t="n"/>
      <c r="X371" s="16" t="n"/>
      <c r="Y371" s="20" t="n"/>
      <c r="Z371" s="20" t="n"/>
      <c r="AA371" s="16" t="n"/>
      <c r="AB371" s="21" t="inlineStr">
        <is>
          <t>1,000-trial multi-family search and read-depth sweep</t>
        </is>
      </c>
      <c r="AC371" s="21" t="inlineStr">
        <is>
          <t>collapsed-taxonomy diagnostic: macro F2 0.3941 (-0.0150)</t>
        </is>
      </c>
    </row>
    <row r="372" ht="28" customHeight="1">
      <c r="A372" s="2" t="inlineStr">
        <is>
          <t>R7.40</t>
        </is>
      </c>
      <c r="B372" s="3" t="n">
        <v>46259</v>
      </c>
      <c r="C372" s="2" t="inlineStr">
        <is>
          <t>sensitive</t>
        </is>
      </c>
      <c r="D372" s="2" t="inlineStr">
        <is>
          <t>tfidf_linear</t>
        </is>
      </c>
      <c r="E372" s="2" t="inlineStr">
        <is>
          <t>pii_holdout_20k</t>
        </is>
      </c>
      <c r="F372" s="4" t="inlineStr">
        <is>
          <t>T1</t>
        </is>
      </c>
      <c r="G372" s="5" t="n">
        <v>1000</v>
      </c>
      <c r="H372" s="6" t="n"/>
      <c r="I372" s="6" t="n"/>
      <c r="J372" s="6" t="n"/>
      <c r="K372" s="7" t="n"/>
      <c r="L372" s="8" t="n"/>
      <c r="M372" s="4" t="inlineStr"/>
      <c r="N372" s="9">
        <f>IFERROR(IF(P372&lt;&gt;"",IF(INDEX($P$2:$P$417,MATCH($M372,$A$2:$A$417,0))="","",P372-INDEX($P$2:$P$417,MATCH($M372,$A$2:$A$417,0))),IF(H372&lt;&gt;"",IF(INDEX($H$2:$H$417,MATCH($M372,$A$2:$A$417,0))="","",H372-INDEX($H$2:$H$417,MATCH($M372,$A$2:$A$417,0))),IF(O372&lt;&gt;"",IF(INDEX($O$2:$O$417,MATCH($M372,$A$2:$A$417,0))="","",O372-INDEX($O$2:$O$417,MATCH($M372,$A$2:$A$417,0))),IF(Q372&lt;&gt;"",IF(INDEX($Q$2:$Q$417,MATCH($M372,$A$2:$A$417,0))="","",Q372-INDEX($Q$2:$Q$417,MATCH($M372,$A$2:$A$417,0))),"")))),"")</f>
        <v/>
      </c>
      <c r="O372" s="6" t="n"/>
      <c r="P372" s="6" t="n">
        <v>0.5717789753627457</v>
      </c>
      <c r="Q372" s="6" t="n">
        <v>0.5214487045831885</v>
      </c>
      <c r="R372" s="6" t="n"/>
      <c r="S372" s="6" t="n"/>
      <c r="T372" s="6" t="n"/>
      <c r="U372" s="6" t="n"/>
      <c r="V372" s="6" t="n"/>
      <c r="W372" s="6" t="n"/>
      <c r="X372" s="6" t="n"/>
      <c r="Y372" s="10" t="n"/>
      <c r="Z372" s="10" t="n"/>
      <c r="AA372" s="6" t="n"/>
      <c r="AB372" s="11" t="inlineStr">
        <is>
          <t>1,000-trial multi-family search and read-depth sweep</t>
        </is>
      </c>
      <c r="AC372" s="11" t="inlineStr">
        <is>
          <t>collapsed-taxonomy diagnostic: macro F2 0.5570 (-0.0148)</t>
        </is>
      </c>
    </row>
    <row r="373" ht="28" customHeight="1">
      <c r="A373" s="12" t="inlineStr">
        <is>
          <t>R7.41</t>
        </is>
      </c>
      <c r="B373" s="13" t="n">
        <v>46259</v>
      </c>
      <c r="C373" s="12" t="inlineStr">
        <is>
          <t>sensitive</t>
        </is>
      </c>
      <c r="D373" s="12" t="inlineStr">
        <is>
          <t>embeddingbag_asl</t>
        </is>
      </c>
      <c r="E373" s="12" t="inlineStr">
        <is>
          <t>4000_datax-dualjudge-evalset-1.32k</t>
        </is>
      </c>
      <c r="F373" s="14" t="inlineStr">
        <is>
          <t>T1</t>
        </is>
      </c>
      <c r="G373" s="15" t="n">
        <v>1000</v>
      </c>
      <c r="H373" s="16" t="n"/>
      <c r="I373" s="16" t="n"/>
      <c r="J373" s="16" t="n"/>
      <c r="K373" s="17" t="n"/>
      <c r="L373" s="18" t="n"/>
      <c r="M373" s="14" t="inlineStr"/>
      <c r="N373" s="19">
        <f>IFERROR(IF(P373&lt;&gt;"",IF(INDEX($P$2:$P$417,MATCH($M373,$A$2:$A$417,0))="","",P373-INDEX($P$2:$P$417,MATCH($M373,$A$2:$A$417,0))),IF(H373&lt;&gt;"",IF(INDEX($H$2:$H$417,MATCH($M373,$A$2:$A$417,0))="","",H373-INDEX($H$2:$H$417,MATCH($M373,$A$2:$A$417,0))),IF(O373&lt;&gt;"",IF(INDEX($O$2:$O$417,MATCH($M373,$A$2:$A$417,0))="","",O373-INDEX($O$2:$O$417,MATCH($M373,$A$2:$A$417,0))),IF(Q373&lt;&gt;"",IF(INDEX($Q$2:$Q$417,MATCH($M373,$A$2:$A$417,0))="","",Q373-INDEX($Q$2:$Q$417,MATCH($M373,$A$2:$A$417,0))),"")))),"")</f>
        <v/>
      </c>
      <c r="O373" s="16" t="n"/>
      <c r="P373" s="16" t="n"/>
      <c r="Q373" s="16" t="n"/>
      <c r="R373" s="16" t="n"/>
      <c r="S373" s="16" t="n"/>
      <c r="T373" s="16" t="n"/>
      <c r="U373" s="16" t="n"/>
      <c r="V373" s="16" t="n"/>
      <c r="W373" s="16" t="n"/>
      <c r="X373" s="16" t="n"/>
      <c r="Y373" s="20" t="n"/>
      <c r="Z373" s="20" t="n"/>
      <c r="AA373" s="16" t="n"/>
      <c r="AB373" s="21" t="inlineStr">
        <is>
          <t>1,000-trial multi-family search and read-depth sweep</t>
        </is>
      </c>
      <c r="AC373" s="21" t="inlineStr">
        <is>
          <t>Priority and effective-latency gates pass; macro-F2 target misses; package for research/internal use</t>
        </is>
      </c>
    </row>
    <row r="374" ht="28" customHeight="1">
      <c r="A374" s="2" t="inlineStr">
        <is>
          <t>R7.42</t>
        </is>
      </c>
      <c r="B374" s="3" t="n">
        <v>46259</v>
      </c>
      <c r="C374" s="2" t="inlineStr">
        <is>
          <t>sensitive</t>
        </is>
      </c>
      <c r="D374" s="2" t="inlineStr">
        <is>
          <t>embeddingbag_asl</t>
        </is>
      </c>
      <c r="E374" s="2" t="inlineStr">
        <is>
          <t>6589_govdocs2-dualjudge-eval20-3.53k</t>
        </is>
      </c>
      <c r="F374" s="4" t="inlineStr">
        <is>
          <t>T1</t>
        </is>
      </c>
      <c r="G374" s="5" t="n">
        <v>1000</v>
      </c>
      <c r="H374" s="6" t="n"/>
      <c r="I374" s="6" t="n"/>
      <c r="J374" s="6" t="n"/>
      <c r="K374" s="7" t="n"/>
      <c r="L374" s="8" t="n"/>
      <c r="M374" s="4" t="inlineStr"/>
      <c r="N374" s="9">
        <f>IFERROR(IF(P374&lt;&gt;"",IF(INDEX($P$2:$P$417,MATCH($M374,$A$2:$A$417,0))="","",P374-INDEX($P$2:$P$417,MATCH($M374,$A$2:$A$417,0))),IF(H374&lt;&gt;"",IF(INDEX($H$2:$H$417,MATCH($M374,$A$2:$A$417,0))="","",H374-INDEX($H$2:$H$417,MATCH($M374,$A$2:$A$417,0))),IF(O374&lt;&gt;"",IF(INDEX($O$2:$O$417,MATCH($M374,$A$2:$A$417,0))="","",O374-INDEX($O$2:$O$417,MATCH($M374,$A$2:$A$417,0))),IF(Q374&lt;&gt;"",IF(INDEX($Q$2:$Q$417,MATCH($M374,$A$2:$A$417,0))="","",Q374-INDEX($Q$2:$Q$417,MATCH($M374,$A$2:$A$417,0))),"")))),"")</f>
        <v/>
      </c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  <c r="X374" s="6" t="n"/>
      <c r="Y374" s="10" t="n"/>
      <c r="Z374" s="10" t="n"/>
      <c r="AA374" s="6" t="n"/>
      <c r="AB374" s="11" t="inlineStr">
        <is>
          <t>1,000-trial multi-family search and read-depth sweep</t>
        </is>
      </c>
      <c r="AC374" s="11" t="inlineStr">
        <is>
          <t>Priority and effective-latency gates pass; macro-F2 target misses; package for research/internal use</t>
        </is>
      </c>
    </row>
    <row r="375" ht="28" customHeight="1">
      <c r="A375" s="12" t="inlineStr">
        <is>
          <t>R7.43</t>
        </is>
      </c>
      <c r="B375" s="13" t="n">
        <v>46259</v>
      </c>
      <c r="C375" s="12" t="inlineStr">
        <is>
          <t>sensitive</t>
        </is>
      </c>
      <c r="D375" s="12" t="inlineStr">
        <is>
          <t>embeddingbag_asl</t>
        </is>
      </c>
      <c r="E375" s="12" t="inlineStr">
        <is>
          <t>ai4privacy_pii_masking_eval_10k</t>
        </is>
      </c>
      <c r="F375" s="14" t="inlineStr">
        <is>
          <t>T1</t>
        </is>
      </c>
      <c r="G375" s="15" t="n">
        <v>1000</v>
      </c>
      <c r="H375" s="16" t="n"/>
      <c r="I375" s="16" t="n"/>
      <c r="J375" s="16" t="n"/>
      <c r="K375" s="17" t="n"/>
      <c r="L375" s="18" t="n"/>
      <c r="M375" s="14" t="inlineStr"/>
      <c r="N375" s="19">
        <f>IFERROR(IF(P375&lt;&gt;"",IF(INDEX($P$2:$P$417,MATCH($M375,$A$2:$A$417,0))="","",P375-INDEX($P$2:$P$417,MATCH($M375,$A$2:$A$417,0))),IF(H375&lt;&gt;"",IF(INDEX($H$2:$H$417,MATCH($M375,$A$2:$A$417,0))="","",H375-INDEX($H$2:$H$417,MATCH($M375,$A$2:$A$417,0))),IF(O375&lt;&gt;"",IF(INDEX($O$2:$O$417,MATCH($M375,$A$2:$A$417,0))="","",O375-INDEX($O$2:$O$417,MATCH($M375,$A$2:$A$417,0))),IF(Q375&lt;&gt;"",IF(INDEX($Q$2:$Q$417,MATCH($M375,$A$2:$A$417,0))="","",Q375-INDEX($Q$2:$Q$417,MATCH($M375,$A$2:$A$417,0))),"")))),"")</f>
        <v/>
      </c>
      <c r="O375" s="16" t="n"/>
      <c r="P375" s="16" t="n">
        <v>0.4733181263162617</v>
      </c>
      <c r="Q375" s="16" t="n">
        <v>0.3854189688959613</v>
      </c>
      <c r="R375" s="16" t="n"/>
      <c r="S375" s="16" t="n"/>
      <c r="T375" s="16" t="n"/>
      <c r="U375" s="16" t="n"/>
      <c r="V375" s="16" t="n"/>
      <c r="W375" s="16" t="n"/>
      <c r="X375" s="16" t="n"/>
      <c r="Y375" s="20" t="n"/>
      <c r="Z375" s="20" t="n"/>
      <c r="AA375" s="16" t="n"/>
      <c r="AB375" s="21" t="inlineStr">
        <is>
          <t>1,000-trial multi-family search and read-depth sweep</t>
        </is>
      </c>
      <c r="AC375" s="21" t="inlineStr">
        <is>
          <t>collapsed-taxonomy diagnostic: macro F2 0.4825 (+0.0092)</t>
        </is>
      </c>
    </row>
    <row r="376" ht="28" customHeight="1">
      <c r="A376" s="2" t="inlineStr">
        <is>
          <t>R7.44</t>
        </is>
      </c>
      <c r="B376" s="3" t="n">
        <v>46259</v>
      </c>
      <c r="C376" s="2" t="inlineStr">
        <is>
          <t>sensitive</t>
        </is>
      </c>
      <c r="D376" s="2" t="inlineStr">
        <is>
          <t>embeddingbag_asl</t>
        </is>
      </c>
      <c r="E376" s="2" t="inlineStr">
        <is>
          <t>betterdataai_ner_silver_eval_10k</t>
        </is>
      </c>
      <c r="F376" s="4" t="inlineStr">
        <is>
          <t>T1</t>
        </is>
      </c>
      <c r="G376" s="5" t="n">
        <v>1000</v>
      </c>
      <c r="H376" s="6" t="n"/>
      <c r="I376" s="6" t="n"/>
      <c r="J376" s="6" t="n"/>
      <c r="K376" s="7" t="n"/>
      <c r="L376" s="8" t="n"/>
      <c r="M376" s="4" t="inlineStr"/>
      <c r="N376" s="9">
        <f>IFERROR(IF(P376&lt;&gt;"",IF(INDEX($P$2:$P$417,MATCH($M376,$A$2:$A$417,0))="","",P376-INDEX($P$2:$P$417,MATCH($M376,$A$2:$A$417,0))),IF(H376&lt;&gt;"",IF(INDEX($H$2:$H$417,MATCH($M376,$A$2:$A$417,0))="","",H376-INDEX($H$2:$H$417,MATCH($M376,$A$2:$A$417,0))),IF(O376&lt;&gt;"",IF(INDEX($O$2:$O$417,MATCH($M376,$A$2:$A$417,0))="","",O376-INDEX($O$2:$O$417,MATCH($M376,$A$2:$A$417,0))),IF(Q376&lt;&gt;"",IF(INDEX($Q$2:$Q$417,MATCH($M376,$A$2:$A$417,0))="","",Q376-INDEX($Q$2:$Q$417,MATCH($M376,$A$2:$A$417,0))),"")))),"")</f>
        <v/>
      </c>
      <c r="O376" s="6" t="n"/>
      <c r="P376" s="6" t="n">
        <v>0.1850011224436722</v>
      </c>
      <c r="Q376" s="6" t="n">
        <v>0.3234955814279703</v>
      </c>
      <c r="R376" s="6" t="n"/>
      <c r="S376" s="6" t="n"/>
      <c r="T376" s="6" t="n"/>
      <c r="U376" s="6" t="n"/>
      <c r="V376" s="6" t="n"/>
      <c r="W376" s="6" t="n"/>
      <c r="X376" s="6" t="n"/>
      <c r="Y376" s="10" t="n"/>
      <c r="Z376" s="10" t="n"/>
      <c r="AA376" s="6" t="n"/>
      <c r="AB376" s="11" t="inlineStr">
        <is>
          <t>1,000-trial multi-family search and read-depth sweep</t>
        </is>
      </c>
      <c r="AC376" s="11" t="inlineStr">
        <is>
          <t>collapsed-taxonomy diagnostic: macro F2 0.1929 (+0.0079)</t>
        </is>
      </c>
    </row>
    <row r="377" ht="28" customHeight="1">
      <c r="A377" s="12" t="inlineStr">
        <is>
          <t>R7.45</t>
        </is>
      </c>
      <c r="B377" s="13" t="n">
        <v>46259</v>
      </c>
      <c r="C377" s="12" t="inlineStr">
        <is>
          <t>sensitive</t>
        </is>
      </c>
      <c r="D377" s="12" t="inlineStr">
        <is>
          <t>embeddingbag_asl</t>
        </is>
      </c>
      <c r="E377" s="12" t="inlineStr">
        <is>
          <t>nemotron_eval_6k</t>
        </is>
      </c>
      <c r="F377" s="14" t="inlineStr">
        <is>
          <t>T1</t>
        </is>
      </c>
      <c r="G377" s="15" t="n">
        <v>1000</v>
      </c>
      <c r="H377" s="16" t="n"/>
      <c r="I377" s="16" t="n"/>
      <c r="J377" s="16" t="n"/>
      <c r="K377" s="17" t="n"/>
      <c r="L377" s="18" t="n"/>
      <c r="M377" s="14" t="inlineStr"/>
      <c r="N377" s="19">
        <f>IFERROR(IF(P377&lt;&gt;"",IF(INDEX($P$2:$P$417,MATCH($M377,$A$2:$A$417,0))="","",P377-INDEX($P$2:$P$417,MATCH($M377,$A$2:$A$417,0))),IF(H377&lt;&gt;"",IF(INDEX($H$2:$H$417,MATCH($M377,$A$2:$A$417,0))="","",H377-INDEX($H$2:$H$417,MATCH($M377,$A$2:$A$417,0))),IF(O377&lt;&gt;"",IF(INDEX($O$2:$O$417,MATCH($M377,$A$2:$A$417,0))="","",O377-INDEX($O$2:$O$417,MATCH($M377,$A$2:$A$417,0))),IF(Q377&lt;&gt;"",IF(INDEX($Q$2:$Q$417,MATCH($M377,$A$2:$A$417,0))="","",Q377-INDEX($Q$2:$Q$417,MATCH($M377,$A$2:$A$417,0))),"")))),"")</f>
        <v/>
      </c>
      <c r="O377" s="16" t="n"/>
      <c r="P377" s="16" t="n"/>
      <c r="Q377" s="16" t="n"/>
      <c r="R377" s="16" t="n"/>
      <c r="S377" s="16" t="n"/>
      <c r="T377" s="16" t="n"/>
      <c r="U377" s="16" t="n"/>
      <c r="V377" s="16" t="n"/>
      <c r="W377" s="16" t="n"/>
      <c r="X377" s="16" t="n"/>
      <c r="Y377" s="20" t="n"/>
      <c r="Z377" s="20" t="n"/>
      <c r="AA377" s="16" t="n"/>
      <c r="AB377" s="21" t="inlineStr">
        <is>
          <t>1,000-trial multi-family search and read-depth sweep</t>
        </is>
      </c>
      <c r="AC377" s="21" t="inlineStr">
        <is>
          <t>Priority and effective-latency gates pass; macro-F2 target misses; package for research/internal use</t>
        </is>
      </c>
    </row>
    <row r="378" ht="28" customHeight="1">
      <c r="A378" s="2" t="inlineStr">
        <is>
          <t>R7.46</t>
        </is>
      </c>
      <c r="B378" s="3" t="n">
        <v>46259</v>
      </c>
      <c r="C378" s="2" t="inlineStr">
        <is>
          <t>sensitive</t>
        </is>
      </c>
      <c r="D378" s="2" t="inlineStr">
        <is>
          <t>embeddingbag_asl</t>
        </is>
      </c>
      <c r="E378" s="2" t="inlineStr">
        <is>
          <t>openpii_pii_eval_38k</t>
        </is>
      </c>
      <c r="F378" s="4" t="inlineStr">
        <is>
          <t>T1</t>
        </is>
      </c>
      <c r="G378" s="5" t="n">
        <v>1000</v>
      </c>
      <c r="H378" s="6" t="n"/>
      <c r="I378" s="6" t="n"/>
      <c r="J378" s="6" t="n"/>
      <c r="K378" s="7" t="n"/>
      <c r="L378" s="8" t="n"/>
      <c r="M378" s="4" t="inlineStr"/>
      <c r="N378" s="9">
        <f>IFERROR(IF(P378&lt;&gt;"",IF(INDEX($P$2:$P$417,MATCH($M378,$A$2:$A$417,0))="","",P378-INDEX($P$2:$P$417,MATCH($M378,$A$2:$A$417,0))),IF(H378&lt;&gt;"",IF(INDEX($H$2:$H$417,MATCH($M378,$A$2:$A$417,0))="","",H378-INDEX($H$2:$H$417,MATCH($M378,$A$2:$A$417,0))),IF(O378&lt;&gt;"",IF(INDEX($O$2:$O$417,MATCH($M378,$A$2:$A$417,0))="","",O378-INDEX($O$2:$O$417,MATCH($M378,$A$2:$A$417,0))),IF(Q378&lt;&gt;"",IF(INDEX($Q$2:$Q$417,MATCH($M378,$A$2:$A$417,0))="","",Q378-INDEX($Q$2:$Q$417,MATCH($M378,$A$2:$A$417,0))),"")))),"")</f>
        <v/>
      </c>
      <c r="O378" s="6" t="n"/>
      <c r="P378" s="6" t="n">
        <v>0.6003032272468823</v>
      </c>
      <c r="Q378" s="6" t="n">
        <v>0.6628003857081003</v>
      </c>
      <c r="R378" s="6" t="n"/>
      <c r="S378" s="6" t="n"/>
      <c r="T378" s="6" t="n"/>
      <c r="U378" s="6" t="n"/>
      <c r="V378" s="6" t="n"/>
      <c r="W378" s="6" t="n"/>
      <c r="X378" s="6" t="n"/>
      <c r="Y378" s="10" t="n"/>
      <c r="Z378" s="10" t="n"/>
      <c r="AA378" s="6" t="n"/>
      <c r="AB378" s="11" t="inlineStr">
        <is>
          <t>1,000-trial multi-family search and read-depth sweep</t>
        </is>
      </c>
      <c r="AC378" s="11" t="inlineStr">
        <is>
          <t>collapsed-taxonomy diagnostic: macro F2 0.5658 (-0.0345)</t>
        </is>
      </c>
    </row>
    <row r="379" ht="28" customHeight="1">
      <c r="A379" s="12" t="inlineStr">
        <is>
          <t>R7.47</t>
        </is>
      </c>
      <c r="B379" s="13" t="n">
        <v>46259</v>
      </c>
      <c r="C379" s="12" t="inlineStr">
        <is>
          <t>sensitive</t>
        </is>
      </c>
      <c r="D379" s="12" t="inlineStr">
        <is>
          <t>embeddingbag_asl</t>
        </is>
      </c>
      <c r="E379" s="12" t="inlineStr">
        <is>
          <t>pii2_eval_30k</t>
        </is>
      </c>
      <c r="F379" s="14" t="inlineStr">
        <is>
          <t>T1</t>
        </is>
      </c>
      <c r="G379" s="15" t="n">
        <v>1000</v>
      </c>
      <c r="H379" s="16" t="n"/>
      <c r="I379" s="16" t="n"/>
      <c r="J379" s="16" t="n"/>
      <c r="K379" s="17" t="n"/>
      <c r="L379" s="18" t="n"/>
      <c r="M379" s="14" t="inlineStr"/>
      <c r="N379" s="19">
        <f>IFERROR(IF(P379&lt;&gt;"",IF(INDEX($P$2:$P$417,MATCH($M379,$A$2:$A$417,0))="","",P379-INDEX($P$2:$P$417,MATCH($M379,$A$2:$A$417,0))),IF(H379&lt;&gt;"",IF(INDEX($H$2:$H$417,MATCH($M379,$A$2:$A$417,0))="","",H379-INDEX($H$2:$H$417,MATCH($M379,$A$2:$A$417,0))),IF(O379&lt;&gt;"",IF(INDEX($O$2:$O$417,MATCH($M379,$A$2:$A$417,0))="","",O379-INDEX($O$2:$O$417,MATCH($M379,$A$2:$A$417,0))),IF(Q379&lt;&gt;"",IF(INDEX($Q$2:$Q$417,MATCH($M379,$A$2:$A$417,0))="","",Q379-INDEX($Q$2:$Q$417,MATCH($M379,$A$2:$A$417,0))),"")))),"")</f>
        <v/>
      </c>
      <c r="O379" s="16" t="n"/>
      <c r="P379" s="16" t="n">
        <v>0.4893179263569084</v>
      </c>
      <c r="Q379" s="16" t="n">
        <v>0.3424173481194503</v>
      </c>
      <c r="R379" s="16" t="n"/>
      <c r="S379" s="16" t="n"/>
      <c r="T379" s="16" t="n"/>
      <c r="U379" s="16" t="n"/>
      <c r="V379" s="16" t="n"/>
      <c r="W379" s="16" t="n"/>
      <c r="X379" s="16" t="n"/>
      <c r="Y379" s="20" t="n"/>
      <c r="Z379" s="20" t="n"/>
      <c r="AA379" s="16" t="n"/>
      <c r="AB379" s="21" t="inlineStr">
        <is>
          <t>1,000-trial multi-family search and read-depth sweep</t>
        </is>
      </c>
      <c r="AC379" s="21" t="inlineStr">
        <is>
          <t>collapsed-taxonomy diagnostic: macro F2 0.4700 (-0.0193)</t>
        </is>
      </c>
    </row>
    <row r="380" ht="28" customHeight="1">
      <c r="A380" s="2" t="inlineStr">
        <is>
          <t>R7.48</t>
        </is>
      </c>
      <c r="B380" s="3" t="n">
        <v>46259</v>
      </c>
      <c r="C380" s="2" t="inlineStr">
        <is>
          <t>sensitive</t>
        </is>
      </c>
      <c r="D380" s="2" t="inlineStr">
        <is>
          <t>embeddingbag_asl</t>
        </is>
      </c>
      <c r="E380" s="2" t="inlineStr">
        <is>
          <t>pii_holdout_20k</t>
        </is>
      </c>
      <c r="F380" s="4" t="inlineStr">
        <is>
          <t>T1</t>
        </is>
      </c>
      <c r="G380" s="5" t="n">
        <v>1000</v>
      </c>
      <c r="H380" s="6" t="n"/>
      <c r="I380" s="6" t="n"/>
      <c r="J380" s="6" t="n"/>
      <c r="K380" s="7" t="n"/>
      <c r="L380" s="8" t="n"/>
      <c r="M380" s="4" t="inlineStr"/>
      <c r="N380" s="9">
        <f>IFERROR(IF(P380&lt;&gt;"",IF(INDEX($P$2:$P$417,MATCH($M380,$A$2:$A$417,0))="","",P380-INDEX($P$2:$P$417,MATCH($M380,$A$2:$A$417,0))),IF(H380&lt;&gt;"",IF(INDEX($H$2:$H$417,MATCH($M380,$A$2:$A$417,0))="","",H380-INDEX($H$2:$H$417,MATCH($M380,$A$2:$A$417,0))),IF(O380&lt;&gt;"",IF(INDEX($O$2:$O$417,MATCH($M380,$A$2:$A$417,0))="","",O380-INDEX($O$2:$O$417,MATCH($M380,$A$2:$A$417,0))),IF(Q380&lt;&gt;"",IF(INDEX($Q$2:$Q$417,MATCH($M380,$A$2:$A$417,0))="","",Q380-INDEX($Q$2:$Q$417,MATCH($M380,$A$2:$A$417,0))),"")))),"")</f>
        <v/>
      </c>
      <c r="O380" s="6" t="n"/>
      <c r="P380" s="6" t="n">
        <v>0.5755986305974792</v>
      </c>
      <c r="Q380" s="6" t="n">
        <v>0.6312815393492018</v>
      </c>
      <c r="R380" s="6" t="n"/>
      <c r="S380" s="6" t="n"/>
      <c r="T380" s="6" t="n"/>
      <c r="U380" s="6" t="n"/>
      <c r="V380" s="6" t="n"/>
      <c r="W380" s="6" t="n"/>
      <c r="X380" s="6" t="n"/>
      <c r="Y380" s="10" t="n"/>
      <c r="Z380" s="10" t="n"/>
      <c r="AA380" s="6" t="n"/>
      <c r="AB380" s="11" t="inlineStr">
        <is>
          <t>1,000-trial multi-family search and read-depth sweep</t>
        </is>
      </c>
      <c r="AC380" s="11" t="inlineStr">
        <is>
          <t>collapsed-taxonomy diagnostic: macro F2 0.5567 (-0.0189)</t>
        </is>
      </c>
    </row>
    <row r="381" ht="28" customHeight="1">
      <c r="A381" s="12" t="inlineStr">
        <is>
          <t>R7.49</t>
        </is>
      </c>
      <c r="B381" s="13" t="n">
        <v>46259</v>
      </c>
      <c r="C381" s="12" t="inlineStr">
        <is>
          <t>sensitive</t>
        </is>
      </c>
      <c r="D381" s="12" t="inlineStr">
        <is>
          <t>hybrid_priority</t>
        </is>
      </c>
      <c r="E381" s="12" t="inlineStr">
        <is>
          <t>4000_datax-dualjudge-evalset-1.32k</t>
        </is>
      </c>
      <c r="F381" s="14" t="inlineStr">
        <is>
          <t>T1</t>
        </is>
      </c>
      <c r="G381" s="15" t="n">
        <v>1000</v>
      </c>
      <c r="H381" s="16" t="n"/>
      <c r="I381" s="16" t="n"/>
      <c r="J381" s="16" t="n"/>
      <c r="K381" s="17" t="n"/>
      <c r="L381" s="18" t="n"/>
      <c r="M381" s="14" t="inlineStr"/>
      <c r="N381" s="19">
        <f>IFERROR(IF(P381&lt;&gt;"",IF(INDEX($P$2:$P$417,MATCH($M381,$A$2:$A$417,0))="","",P381-INDEX($P$2:$P$417,MATCH($M381,$A$2:$A$417,0))),IF(H381&lt;&gt;"",IF(INDEX($H$2:$H$417,MATCH($M381,$A$2:$A$417,0))="","",H381-INDEX($H$2:$H$417,MATCH($M381,$A$2:$A$417,0))),IF(O381&lt;&gt;"",IF(INDEX($O$2:$O$417,MATCH($M381,$A$2:$A$417,0))="","",O381-INDEX($O$2:$O$417,MATCH($M381,$A$2:$A$417,0))),IF(Q381&lt;&gt;"",IF(INDEX($Q$2:$Q$417,MATCH($M381,$A$2:$A$417,0))="","",Q381-INDEX($Q$2:$Q$417,MATCH($M381,$A$2:$A$417,0))),"")))),"")</f>
        <v/>
      </c>
      <c r="O381" s="16" t="n"/>
      <c r="P381" s="16" t="n"/>
      <c r="Q381" s="16" t="n"/>
      <c r="R381" s="16" t="n"/>
      <c r="S381" s="16" t="n"/>
      <c r="T381" s="16" t="n"/>
      <c r="U381" s="16" t="n"/>
      <c r="V381" s="16" t="n"/>
      <c r="W381" s="16" t="n"/>
      <c r="X381" s="16" t="n"/>
      <c r="Y381" s="20" t="n"/>
      <c r="Z381" s="20" t="n"/>
      <c r="AA381" s="16" t="n"/>
      <c r="AB381" s="21" t="inlineStr">
        <is>
          <t>1,000-trial multi-family search and read-depth sweep</t>
        </is>
      </c>
      <c r="AC381" s="21" t="inlineStr">
        <is>
          <t>Priority and effective-latency gates pass; macro-F2 target misses; package for research/internal use</t>
        </is>
      </c>
    </row>
    <row r="382" ht="28" customHeight="1">
      <c r="A382" s="2" t="inlineStr">
        <is>
          <t>R7.50</t>
        </is>
      </c>
      <c r="B382" s="3" t="n">
        <v>46259</v>
      </c>
      <c r="C382" s="2" t="inlineStr">
        <is>
          <t>sensitive</t>
        </is>
      </c>
      <c r="D382" s="2" t="inlineStr">
        <is>
          <t>hybrid_priority</t>
        </is>
      </c>
      <c r="E382" s="2" t="inlineStr">
        <is>
          <t>6589_govdocs2-dualjudge-eval20-3.53k</t>
        </is>
      </c>
      <c r="F382" s="4" t="inlineStr">
        <is>
          <t>T1</t>
        </is>
      </c>
      <c r="G382" s="5" t="n">
        <v>1000</v>
      </c>
      <c r="H382" s="6" t="n"/>
      <c r="I382" s="6" t="n"/>
      <c r="J382" s="6" t="n"/>
      <c r="K382" s="7" t="n"/>
      <c r="L382" s="8" t="n"/>
      <c r="M382" s="4" t="inlineStr"/>
      <c r="N382" s="9">
        <f>IFERROR(IF(P382&lt;&gt;"",IF(INDEX($P$2:$P$417,MATCH($M382,$A$2:$A$417,0))="","",P382-INDEX($P$2:$P$417,MATCH($M382,$A$2:$A$417,0))),IF(H382&lt;&gt;"",IF(INDEX($H$2:$H$417,MATCH($M382,$A$2:$A$417,0))="","",H382-INDEX($H$2:$H$417,MATCH($M382,$A$2:$A$417,0))),IF(O382&lt;&gt;"",IF(INDEX($O$2:$O$417,MATCH($M382,$A$2:$A$417,0))="","",O382-INDEX($O$2:$O$417,MATCH($M382,$A$2:$A$417,0))),IF(Q382&lt;&gt;"",IF(INDEX($Q$2:$Q$417,MATCH($M382,$A$2:$A$417,0))="","",Q382-INDEX($Q$2:$Q$417,MATCH($M382,$A$2:$A$417,0))),"")))),"")</f>
        <v/>
      </c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  <c r="X382" s="6" t="n"/>
      <c r="Y382" s="10" t="n"/>
      <c r="Z382" s="10" t="n"/>
      <c r="AA382" s="6" t="n"/>
      <c r="AB382" s="11" t="inlineStr">
        <is>
          <t>1,000-trial multi-family search and read-depth sweep</t>
        </is>
      </c>
      <c r="AC382" s="11" t="inlineStr">
        <is>
          <t>Priority and effective-latency gates pass; macro-F2 target misses; package for research/internal use</t>
        </is>
      </c>
    </row>
    <row r="383" ht="28" customHeight="1">
      <c r="A383" s="12" t="inlineStr">
        <is>
          <t>R7.51</t>
        </is>
      </c>
      <c r="B383" s="13" t="n">
        <v>46259</v>
      </c>
      <c r="C383" s="12" t="inlineStr">
        <is>
          <t>sensitive</t>
        </is>
      </c>
      <c r="D383" s="12" t="inlineStr">
        <is>
          <t>hybrid_priority</t>
        </is>
      </c>
      <c r="E383" s="12" t="inlineStr">
        <is>
          <t>ai4privacy_pii_masking_eval_10k</t>
        </is>
      </c>
      <c r="F383" s="14" t="inlineStr">
        <is>
          <t>T1</t>
        </is>
      </c>
      <c r="G383" s="15" t="n">
        <v>1000</v>
      </c>
      <c r="H383" s="16" t="n"/>
      <c r="I383" s="16" t="n"/>
      <c r="J383" s="16" t="n"/>
      <c r="K383" s="17" t="n"/>
      <c r="L383" s="18" t="n"/>
      <c r="M383" s="14" t="inlineStr"/>
      <c r="N383" s="19">
        <f>IFERROR(IF(P383&lt;&gt;"",IF(INDEX($P$2:$P$417,MATCH($M383,$A$2:$A$417,0))="","",P383-INDEX($P$2:$P$417,MATCH($M383,$A$2:$A$417,0))),IF(H383&lt;&gt;"",IF(INDEX($H$2:$H$417,MATCH($M383,$A$2:$A$417,0))="","",H383-INDEX($H$2:$H$417,MATCH($M383,$A$2:$A$417,0))),IF(O383&lt;&gt;"",IF(INDEX($O$2:$O$417,MATCH($M383,$A$2:$A$417,0))="","",O383-INDEX($O$2:$O$417,MATCH($M383,$A$2:$A$417,0))),IF(Q383&lt;&gt;"",IF(INDEX($Q$2:$Q$417,MATCH($M383,$A$2:$A$417,0))="","",Q383-INDEX($Q$2:$Q$417,MATCH($M383,$A$2:$A$417,0))),"")))),"")</f>
        <v/>
      </c>
      <c r="O383" s="16" t="n"/>
      <c r="P383" s="16" t="n">
        <v>0.4999957282114783</v>
      </c>
      <c r="Q383" s="16" t="n">
        <v>0.3530025168487251</v>
      </c>
      <c r="R383" s="16" t="n"/>
      <c r="S383" s="16" t="n"/>
      <c r="T383" s="16" t="n"/>
      <c r="U383" s="16" t="n"/>
      <c r="V383" s="16" t="n"/>
      <c r="W383" s="16" t="n"/>
      <c r="X383" s="16" t="n"/>
      <c r="Y383" s="20" t="n"/>
      <c r="Z383" s="20" t="n"/>
      <c r="AA383" s="16" t="n"/>
      <c r="AB383" s="21" t="inlineStr">
        <is>
          <t>1,000-trial multi-family search and read-depth sweep</t>
        </is>
      </c>
      <c r="AC383" s="21" t="inlineStr">
        <is>
          <t>collapsed-taxonomy diagnostic: macro F2 0.5110 (+0.0110)</t>
        </is>
      </c>
    </row>
    <row r="384" ht="28" customHeight="1">
      <c r="A384" s="2" t="inlineStr">
        <is>
          <t>R7.52</t>
        </is>
      </c>
      <c r="B384" s="3" t="n">
        <v>46259</v>
      </c>
      <c r="C384" s="2" t="inlineStr">
        <is>
          <t>sensitive</t>
        </is>
      </c>
      <c r="D384" s="2" t="inlineStr">
        <is>
          <t>hybrid_priority</t>
        </is>
      </c>
      <c r="E384" s="2" t="inlineStr">
        <is>
          <t>betterdataai_ner_silver_eval_10k</t>
        </is>
      </c>
      <c r="F384" s="4" t="inlineStr">
        <is>
          <t>T1</t>
        </is>
      </c>
      <c r="G384" s="5" t="n">
        <v>1000</v>
      </c>
      <c r="H384" s="6" t="n"/>
      <c r="I384" s="6" t="n"/>
      <c r="J384" s="6" t="n"/>
      <c r="K384" s="7" t="n"/>
      <c r="L384" s="8" t="n"/>
      <c r="M384" s="4" t="inlineStr"/>
      <c r="N384" s="9">
        <f>IFERROR(IF(P384&lt;&gt;"",IF(INDEX($P$2:$P$417,MATCH($M384,$A$2:$A$417,0))="","",P384-INDEX($P$2:$P$417,MATCH($M384,$A$2:$A$417,0))),IF(H384&lt;&gt;"",IF(INDEX($H$2:$H$417,MATCH($M384,$A$2:$A$417,0))="","",H384-INDEX($H$2:$H$417,MATCH($M384,$A$2:$A$417,0))),IF(O384&lt;&gt;"",IF(INDEX($O$2:$O$417,MATCH($M384,$A$2:$A$417,0))="","",O384-INDEX($O$2:$O$417,MATCH($M384,$A$2:$A$417,0))),IF(Q384&lt;&gt;"",IF(INDEX($Q$2:$Q$417,MATCH($M384,$A$2:$A$417,0))="","",Q384-INDEX($Q$2:$Q$417,MATCH($M384,$A$2:$A$417,0))),"")))),"")</f>
        <v/>
      </c>
      <c r="O384" s="6" t="n"/>
      <c r="P384" s="6" t="n">
        <v>0.2312503612791334</v>
      </c>
      <c r="Q384" s="6" t="n">
        <v>0.202152525351274</v>
      </c>
      <c r="R384" s="6" t="n"/>
      <c r="S384" s="6" t="n"/>
      <c r="T384" s="6" t="n"/>
      <c r="U384" s="6" t="n"/>
      <c r="V384" s="6" t="n"/>
      <c r="W384" s="6" t="n"/>
      <c r="X384" s="6" t="n"/>
      <c r="Y384" s="10" t="n"/>
      <c r="Z384" s="10" t="n"/>
      <c r="AA384" s="6" t="n"/>
      <c r="AB384" s="11" t="inlineStr">
        <is>
          <t>1,000-trial multi-family search and read-depth sweep</t>
        </is>
      </c>
      <c r="AC384" s="11" t="inlineStr">
        <is>
          <t>collapsed-taxonomy diagnostic: macro F2 0.2447 (+0.0135)</t>
        </is>
      </c>
    </row>
    <row r="385" ht="28" customHeight="1">
      <c r="A385" s="12" t="inlineStr">
        <is>
          <t>R7.53</t>
        </is>
      </c>
      <c r="B385" s="13" t="n">
        <v>46259</v>
      </c>
      <c r="C385" s="12" t="inlineStr">
        <is>
          <t>sensitive</t>
        </is>
      </c>
      <c r="D385" s="12" t="inlineStr">
        <is>
          <t>hybrid_priority</t>
        </is>
      </c>
      <c r="E385" s="12" t="inlineStr">
        <is>
          <t>nemotron_eval_6k</t>
        </is>
      </c>
      <c r="F385" s="14" t="inlineStr">
        <is>
          <t>T1</t>
        </is>
      </c>
      <c r="G385" s="15" t="n">
        <v>1000</v>
      </c>
      <c r="H385" s="16" t="n"/>
      <c r="I385" s="16" t="n"/>
      <c r="J385" s="16" t="n"/>
      <c r="K385" s="17" t="n"/>
      <c r="L385" s="18" t="n"/>
      <c r="M385" s="14" t="inlineStr"/>
      <c r="N385" s="19">
        <f>IFERROR(IF(P385&lt;&gt;"",IF(INDEX($P$2:$P$417,MATCH($M385,$A$2:$A$417,0))="","",P385-INDEX($P$2:$P$417,MATCH($M385,$A$2:$A$417,0))),IF(H385&lt;&gt;"",IF(INDEX($H$2:$H$417,MATCH($M385,$A$2:$A$417,0))="","",H385-INDEX($H$2:$H$417,MATCH($M385,$A$2:$A$417,0))),IF(O385&lt;&gt;"",IF(INDEX($O$2:$O$417,MATCH($M385,$A$2:$A$417,0))="","",O385-INDEX($O$2:$O$417,MATCH($M385,$A$2:$A$417,0))),IF(Q385&lt;&gt;"",IF(INDEX($Q$2:$Q$417,MATCH($M385,$A$2:$A$417,0))="","",Q385-INDEX($Q$2:$Q$417,MATCH($M385,$A$2:$A$417,0))),"")))),"")</f>
        <v/>
      </c>
      <c r="O385" s="16" t="n"/>
      <c r="P385" s="16" t="n"/>
      <c r="Q385" s="16" t="n"/>
      <c r="R385" s="16" t="n"/>
      <c r="S385" s="16" t="n"/>
      <c r="T385" s="16" t="n"/>
      <c r="U385" s="16" t="n"/>
      <c r="V385" s="16" t="n"/>
      <c r="W385" s="16" t="n"/>
      <c r="X385" s="16" t="n"/>
      <c r="Y385" s="20" t="n"/>
      <c r="Z385" s="20" t="n"/>
      <c r="AA385" s="16" t="n"/>
      <c r="AB385" s="21" t="inlineStr">
        <is>
          <t>1,000-trial multi-family search and read-depth sweep</t>
        </is>
      </c>
      <c r="AC385" s="21" t="inlineStr">
        <is>
          <t>Priority and effective-latency gates pass; macro-F2 target misses; package for research/internal use</t>
        </is>
      </c>
    </row>
    <row r="386" ht="28" customHeight="1">
      <c r="A386" s="2" t="inlineStr">
        <is>
          <t>R7.54</t>
        </is>
      </c>
      <c r="B386" s="3" t="n">
        <v>46259</v>
      </c>
      <c r="C386" s="2" t="inlineStr">
        <is>
          <t>sensitive</t>
        </is>
      </c>
      <c r="D386" s="2" t="inlineStr">
        <is>
          <t>hybrid_priority</t>
        </is>
      </c>
      <c r="E386" s="2" t="inlineStr">
        <is>
          <t>openpii_pii_eval_38k</t>
        </is>
      </c>
      <c r="F386" s="4" t="inlineStr">
        <is>
          <t>T1</t>
        </is>
      </c>
      <c r="G386" s="5" t="n">
        <v>1000</v>
      </c>
      <c r="H386" s="6" t="n"/>
      <c r="I386" s="6" t="n"/>
      <c r="J386" s="6" t="n"/>
      <c r="K386" s="7" t="n"/>
      <c r="L386" s="8" t="n"/>
      <c r="M386" s="4" t="inlineStr"/>
      <c r="N386" s="9">
        <f>IFERROR(IF(P386&lt;&gt;"",IF(INDEX($P$2:$P$417,MATCH($M386,$A$2:$A$417,0))="","",P386-INDEX($P$2:$P$417,MATCH($M386,$A$2:$A$417,0))),IF(H386&lt;&gt;"",IF(INDEX($H$2:$H$417,MATCH($M386,$A$2:$A$417,0))="","",H386-INDEX($H$2:$H$417,MATCH($M386,$A$2:$A$417,0))),IF(O386&lt;&gt;"",IF(INDEX($O$2:$O$417,MATCH($M386,$A$2:$A$417,0))="","",O386-INDEX($O$2:$O$417,MATCH($M386,$A$2:$A$417,0))),IF(Q386&lt;&gt;"",IF(INDEX($Q$2:$Q$417,MATCH($M386,$A$2:$A$417,0))="","",Q386-INDEX($Q$2:$Q$417,MATCH($M386,$A$2:$A$417,0))),"")))),"")</f>
        <v/>
      </c>
      <c r="O386" s="6" t="n"/>
      <c r="P386" s="6" t="n">
        <v>0.6301897435704903</v>
      </c>
      <c r="Q386" s="6" t="n">
        <v>0.6616117850953206</v>
      </c>
      <c r="R386" s="6" t="n"/>
      <c r="S386" s="6" t="n"/>
      <c r="T386" s="6" t="n"/>
      <c r="U386" s="6" t="n"/>
      <c r="V386" s="6" t="n"/>
      <c r="W386" s="6" t="n"/>
      <c r="X386" s="6" t="n"/>
      <c r="Y386" s="10" t="n"/>
      <c r="Z386" s="10" t="n"/>
      <c r="AA386" s="6" t="n"/>
      <c r="AB386" s="11" t="inlineStr">
        <is>
          <t>1,000-trial multi-family search and read-depth sweep</t>
        </is>
      </c>
      <c r="AC386" s="11" t="inlineStr">
        <is>
          <t>collapsed-taxonomy diagnostic: macro F2 0.5948 (-0.0354)</t>
        </is>
      </c>
    </row>
    <row r="387" ht="28" customHeight="1">
      <c r="A387" s="12" t="inlineStr">
        <is>
          <t>R7.55</t>
        </is>
      </c>
      <c r="B387" s="13" t="n">
        <v>46259</v>
      </c>
      <c r="C387" s="12" t="inlineStr">
        <is>
          <t>sensitive</t>
        </is>
      </c>
      <c r="D387" s="12" t="inlineStr">
        <is>
          <t>hybrid_priority</t>
        </is>
      </c>
      <c r="E387" s="12" t="inlineStr">
        <is>
          <t>pii2_eval_30k</t>
        </is>
      </c>
      <c r="F387" s="14" t="inlineStr">
        <is>
          <t>T1</t>
        </is>
      </c>
      <c r="G387" s="15" t="n">
        <v>1000</v>
      </c>
      <c r="H387" s="16" t="n"/>
      <c r="I387" s="16" t="n"/>
      <c r="J387" s="16" t="n"/>
      <c r="K387" s="17" t="n"/>
      <c r="L387" s="18" t="n"/>
      <c r="M387" s="14" t="inlineStr"/>
      <c r="N387" s="19">
        <f>IFERROR(IF(P387&lt;&gt;"",IF(INDEX($P$2:$P$417,MATCH($M387,$A$2:$A$417,0))="","",P387-INDEX($P$2:$P$417,MATCH($M387,$A$2:$A$417,0))),IF(H387&lt;&gt;"",IF(INDEX($H$2:$H$417,MATCH($M387,$A$2:$A$417,0))="","",H387-INDEX($H$2:$H$417,MATCH($M387,$A$2:$A$417,0))),IF(O387&lt;&gt;"",IF(INDEX($O$2:$O$417,MATCH($M387,$A$2:$A$417,0))="","",O387-INDEX($O$2:$O$417,MATCH($M387,$A$2:$A$417,0))),IF(Q387&lt;&gt;"",IF(INDEX($Q$2:$Q$417,MATCH($M387,$A$2:$A$417,0))="","",Q387-INDEX($Q$2:$Q$417,MATCH($M387,$A$2:$A$417,0))),"")))),"")</f>
        <v/>
      </c>
      <c r="O387" s="16" t="n"/>
      <c r="P387" s="16" t="n">
        <v>0.4624626997840942</v>
      </c>
      <c r="Q387" s="16" t="n">
        <v>0.2038074940066673</v>
      </c>
      <c r="R387" s="16" t="n"/>
      <c r="S387" s="16" t="n"/>
      <c r="T387" s="16" t="n"/>
      <c r="U387" s="16" t="n"/>
      <c r="V387" s="16" t="n"/>
      <c r="W387" s="16" t="n"/>
      <c r="X387" s="16" t="n"/>
      <c r="Y387" s="20" t="n"/>
      <c r="Z387" s="20" t="n"/>
      <c r="AA387" s="16" t="n"/>
      <c r="AB387" s="21" t="inlineStr">
        <is>
          <t>1,000-trial multi-family search and read-depth sweep</t>
        </is>
      </c>
      <c r="AC387" s="21" t="inlineStr">
        <is>
          <t>collapsed-taxonomy diagnostic: macro F2 0.4483 (-0.0142)</t>
        </is>
      </c>
    </row>
    <row r="388" ht="28" customHeight="1">
      <c r="A388" s="2" t="inlineStr">
        <is>
          <t>R7.56</t>
        </is>
      </c>
      <c r="B388" s="3" t="n">
        <v>46259</v>
      </c>
      <c r="C388" s="2" t="inlineStr">
        <is>
          <t>sensitive</t>
        </is>
      </c>
      <c r="D388" s="2" t="inlineStr">
        <is>
          <t>hybrid_priority</t>
        </is>
      </c>
      <c r="E388" s="2" t="inlineStr">
        <is>
          <t>pii_holdout_20k</t>
        </is>
      </c>
      <c r="F388" s="4" t="inlineStr">
        <is>
          <t>T1</t>
        </is>
      </c>
      <c r="G388" s="5" t="n">
        <v>1000</v>
      </c>
      <c r="H388" s="6" t="n"/>
      <c r="I388" s="6" t="n"/>
      <c r="J388" s="6" t="n"/>
      <c r="K388" s="7" t="n"/>
      <c r="L388" s="8" t="n"/>
      <c r="M388" s="4" t="inlineStr"/>
      <c r="N388" s="9">
        <f>IFERROR(IF(P388&lt;&gt;"",IF(INDEX($P$2:$P$417,MATCH($M388,$A$2:$A$417,0))="","",P388-INDEX($P$2:$P$417,MATCH($M388,$A$2:$A$417,0))),IF(H388&lt;&gt;"",IF(INDEX($H$2:$H$417,MATCH($M388,$A$2:$A$417,0))="","",H388-INDEX($H$2:$H$417,MATCH($M388,$A$2:$A$417,0))),IF(O388&lt;&gt;"",IF(INDEX($O$2:$O$417,MATCH($M388,$A$2:$A$417,0))="","",O388-INDEX($O$2:$O$417,MATCH($M388,$A$2:$A$417,0))),IF(Q388&lt;&gt;"",IF(INDEX($Q$2:$Q$417,MATCH($M388,$A$2:$A$417,0))="","",Q388-INDEX($Q$2:$Q$417,MATCH($M388,$A$2:$A$417,0))),"")))),"")</f>
        <v/>
      </c>
      <c r="O388" s="6" t="n"/>
      <c r="P388" s="6" t="n">
        <v>0.5753219024611259</v>
      </c>
      <c r="Q388" s="6" t="n">
        <v>0.4750729177050941</v>
      </c>
      <c r="R388" s="6" t="n"/>
      <c r="S388" s="6" t="n"/>
      <c r="T388" s="6" t="n"/>
      <c r="U388" s="6" t="n"/>
      <c r="V388" s="6" t="n"/>
      <c r="W388" s="6" t="n"/>
      <c r="X388" s="6" t="n"/>
      <c r="Y388" s="10" t="n"/>
      <c r="Z388" s="10" t="n"/>
      <c r="AA388" s="6" t="n"/>
      <c r="AB388" s="11" t="inlineStr">
        <is>
          <t>1,000-trial multi-family search and read-depth sweep</t>
        </is>
      </c>
      <c r="AC388" s="11" t="inlineStr">
        <is>
          <t>collapsed-taxonomy diagnostic: macro F2 0.5595 (-0.0158)</t>
        </is>
      </c>
    </row>
    <row r="389" ht="28" customHeight="1">
      <c r="A389" s="12" t="inlineStr">
        <is>
          <t>R7.57</t>
        </is>
      </c>
      <c r="B389" s="13" t="n">
        <v>46259</v>
      </c>
      <c r="C389" s="12" t="inlineStr">
        <is>
          <t>sensitive</t>
        </is>
      </c>
      <c r="D389" s="12" t="inlineStr">
        <is>
          <t>champion_1k</t>
        </is>
      </c>
      <c r="E389" s="12" t="inlineStr">
        <is>
          <t>4000_datax-dualjudge-evalset-1.32k</t>
        </is>
      </c>
      <c r="F389" s="14" t="inlineStr">
        <is>
          <t>T1</t>
        </is>
      </c>
      <c r="G389" s="15" t="n">
        <v>1000</v>
      </c>
      <c r="H389" s="16" t="n"/>
      <c r="I389" s="16" t="n"/>
      <c r="J389" s="16" t="n"/>
      <c r="K389" s="17" t="n"/>
      <c r="L389" s="18" t="n"/>
      <c r="M389" s="14" t="inlineStr"/>
      <c r="N389" s="19">
        <f>IFERROR(IF(P389&lt;&gt;"",IF(INDEX($P$2:$P$417,MATCH($M389,$A$2:$A$417,0))="","",P389-INDEX($P$2:$P$417,MATCH($M389,$A$2:$A$417,0))),IF(H389&lt;&gt;"",IF(INDEX($H$2:$H$417,MATCH($M389,$A$2:$A$417,0))="","",H389-INDEX($H$2:$H$417,MATCH($M389,$A$2:$A$417,0))),IF(O389&lt;&gt;"",IF(INDEX($O$2:$O$417,MATCH($M389,$A$2:$A$417,0))="","",O389-INDEX($O$2:$O$417,MATCH($M389,$A$2:$A$417,0))),IF(Q389&lt;&gt;"",IF(INDEX($Q$2:$Q$417,MATCH($M389,$A$2:$A$417,0))="","",Q389-INDEX($Q$2:$Q$417,MATCH($M389,$A$2:$A$417,0))),"")))),"")</f>
        <v/>
      </c>
      <c r="O389" s="16" t="n"/>
      <c r="P389" s="16" t="n"/>
      <c r="Q389" s="16" t="n"/>
      <c r="R389" s="16" t="n"/>
      <c r="S389" s="16" t="n"/>
      <c r="T389" s="16" t="n"/>
      <c r="U389" s="16" t="n"/>
      <c r="V389" s="16" t="n"/>
      <c r="W389" s="16" t="n"/>
      <c r="X389" s="16" t="n"/>
      <c r="Y389" s="20" t="n"/>
      <c r="Z389" s="20" t="n"/>
      <c r="AA389" s="16" t="n"/>
      <c r="AB389" s="21" t="inlineStr">
        <is>
          <t>1,000-trial multi-family search and read-depth sweep</t>
        </is>
      </c>
      <c r="AC389" s="21" t="inlineStr">
        <is>
          <t>Priority and effective-latency gates pass; macro-F2 target misses; package for research/internal use</t>
        </is>
      </c>
    </row>
    <row r="390" ht="28" customHeight="1">
      <c r="A390" s="2" t="inlineStr">
        <is>
          <t>R7.58</t>
        </is>
      </c>
      <c r="B390" s="3" t="n">
        <v>46259</v>
      </c>
      <c r="C390" s="2" t="inlineStr">
        <is>
          <t>sensitive</t>
        </is>
      </c>
      <c r="D390" s="2" t="inlineStr">
        <is>
          <t>champion_1k</t>
        </is>
      </c>
      <c r="E390" s="2" t="inlineStr">
        <is>
          <t>6589_govdocs2-dualjudge-eval20-3.53k</t>
        </is>
      </c>
      <c r="F390" s="4" t="inlineStr">
        <is>
          <t>T1</t>
        </is>
      </c>
      <c r="G390" s="5" t="n">
        <v>1000</v>
      </c>
      <c r="H390" s="6" t="n"/>
      <c r="I390" s="6" t="n"/>
      <c r="J390" s="6" t="n"/>
      <c r="K390" s="7" t="n"/>
      <c r="L390" s="8" t="n"/>
      <c r="M390" s="4" t="inlineStr"/>
      <c r="N390" s="9">
        <f>IFERROR(IF(P390&lt;&gt;"",IF(INDEX($P$2:$P$417,MATCH($M390,$A$2:$A$417,0))="","",P390-INDEX($P$2:$P$417,MATCH($M390,$A$2:$A$417,0))),IF(H390&lt;&gt;"",IF(INDEX($H$2:$H$417,MATCH($M390,$A$2:$A$417,0))="","",H390-INDEX($H$2:$H$417,MATCH($M390,$A$2:$A$417,0))),IF(O390&lt;&gt;"",IF(INDEX($O$2:$O$417,MATCH($M390,$A$2:$A$417,0))="","",O390-INDEX($O$2:$O$417,MATCH($M390,$A$2:$A$417,0))),IF(Q390&lt;&gt;"",IF(INDEX($Q$2:$Q$417,MATCH($M390,$A$2:$A$417,0))="","",Q390-INDEX($Q$2:$Q$417,MATCH($M390,$A$2:$A$417,0))),"")))),"")</f>
        <v/>
      </c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  <c r="X390" s="6" t="n"/>
      <c r="Y390" s="10" t="n"/>
      <c r="Z390" s="10" t="n"/>
      <c r="AA390" s="6" t="n"/>
      <c r="AB390" s="11" t="inlineStr">
        <is>
          <t>1,000-trial multi-family search and read-depth sweep</t>
        </is>
      </c>
      <c r="AC390" s="11" t="inlineStr">
        <is>
          <t>Priority and effective-latency gates pass; macro-F2 target misses; package for research/internal use</t>
        </is>
      </c>
    </row>
    <row r="391" ht="28" customHeight="1">
      <c r="A391" s="12" t="inlineStr">
        <is>
          <t>R7.59</t>
        </is>
      </c>
      <c r="B391" s="13" t="n">
        <v>46259</v>
      </c>
      <c r="C391" s="12" t="inlineStr">
        <is>
          <t>sensitive</t>
        </is>
      </c>
      <c r="D391" s="12" t="inlineStr">
        <is>
          <t>champion_1k</t>
        </is>
      </c>
      <c r="E391" s="12" t="inlineStr">
        <is>
          <t>ai4privacy_pii_masking_eval_10k</t>
        </is>
      </c>
      <c r="F391" s="14" t="inlineStr">
        <is>
          <t>T1</t>
        </is>
      </c>
      <c r="G391" s="15" t="n">
        <v>1000</v>
      </c>
      <c r="H391" s="16" t="n"/>
      <c r="I391" s="16" t="n"/>
      <c r="J391" s="16" t="n"/>
      <c r="K391" s="17" t="n"/>
      <c r="L391" s="18" t="n"/>
      <c r="M391" s="14" t="inlineStr"/>
      <c r="N391" s="19">
        <f>IFERROR(IF(P391&lt;&gt;"",IF(INDEX($P$2:$P$417,MATCH($M391,$A$2:$A$417,0))="","",P391-INDEX($P$2:$P$417,MATCH($M391,$A$2:$A$417,0))),IF(H391&lt;&gt;"",IF(INDEX($H$2:$H$417,MATCH($M391,$A$2:$A$417,0))="","",H391-INDEX($H$2:$H$417,MATCH($M391,$A$2:$A$417,0))),IF(O391&lt;&gt;"",IF(INDEX($O$2:$O$417,MATCH($M391,$A$2:$A$417,0))="","",O391-INDEX($O$2:$O$417,MATCH($M391,$A$2:$A$417,0))),IF(Q391&lt;&gt;"",IF(INDEX($Q$2:$Q$417,MATCH($M391,$A$2:$A$417,0))="","",Q391-INDEX($Q$2:$Q$417,MATCH($M391,$A$2:$A$417,0))),"")))),"")</f>
        <v/>
      </c>
      <c r="O391" s="16" t="n"/>
      <c r="P391" s="16" t="n">
        <v>0.4995498084835842</v>
      </c>
      <c r="Q391" s="16" t="n">
        <v>0.3529093683011143</v>
      </c>
      <c r="R391" s="16" t="n"/>
      <c r="S391" s="16" t="n"/>
      <c r="T391" s="16" t="n"/>
      <c r="U391" s="16" t="n"/>
      <c r="V391" s="16" t="n"/>
      <c r="W391" s="16" t="n"/>
      <c r="X391" s="16" t="n"/>
      <c r="Y391" s="20" t="n"/>
      <c r="Z391" s="20" t="n"/>
      <c r="AA391" s="16" t="n"/>
      <c r="AB391" s="21" t="inlineStr">
        <is>
          <t>1,000-trial multi-family search and read-depth sweep</t>
        </is>
      </c>
      <c r="AC391" s="21" t="inlineStr">
        <is>
          <t>collapsed-taxonomy diagnostic: macro F2 0.5105 (+0.0110)</t>
        </is>
      </c>
    </row>
    <row r="392" ht="28" customHeight="1">
      <c r="A392" s="2" t="inlineStr">
        <is>
          <t>R7.60</t>
        </is>
      </c>
      <c r="B392" s="3" t="n">
        <v>46259</v>
      </c>
      <c r="C392" s="2" t="inlineStr">
        <is>
          <t>sensitive</t>
        </is>
      </c>
      <c r="D392" s="2" t="inlineStr">
        <is>
          <t>champion_1k</t>
        </is>
      </c>
      <c r="E392" s="2" t="inlineStr">
        <is>
          <t>betterdataai_ner_silver_eval_10k</t>
        </is>
      </c>
      <c r="F392" s="4" t="inlineStr">
        <is>
          <t>T1</t>
        </is>
      </c>
      <c r="G392" s="5" t="n">
        <v>1000</v>
      </c>
      <c r="H392" s="6" t="n"/>
      <c r="I392" s="6" t="n"/>
      <c r="J392" s="6" t="n"/>
      <c r="K392" s="7" t="n"/>
      <c r="L392" s="8" t="n"/>
      <c r="M392" s="4" t="inlineStr"/>
      <c r="N392" s="9">
        <f>IFERROR(IF(P392&lt;&gt;"",IF(INDEX($P$2:$P$417,MATCH($M392,$A$2:$A$417,0))="","",P392-INDEX($P$2:$P$417,MATCH($M392,$A$2:$A$417,0))),IF(H392&lt;&gt;"",IF(INDEX($H$2:$H$417,MATCH($M392,$A$2:$A$417,0))="","",H392-INDEX($H$2:$H$417,MATCH($M392,$A$2:$A$417,0))),IF(O392&lt;&gt;"",IF(INDEX($O$2:$O$417,MATCH($M392,$A$2:$A$417,0))="","",O392-INDEX($O$2:$O$417,MATCH($M392,$A$2:$A$417,0))),IF(Q392&lt;&gt;"",IF(INDEX($Q$2:$Q$417,MATCH($M392,$A$2:$A$417,0))="","",Q392-INDEX($Q$2:$Q$417,MATCH($M392,$A$2:$A$417,0))),"")))),"")</f>
        <v/>
      </c>
      <c r="O392" s="6" t="n"/>
      <c r="P392" s="6" t="n">
        <v>0.2312503612791334</v>
      </c>
      <c r="Q392" s="6" t="n">
        <v>0.202152525351274</v>
      </c>
      <c r="R392" s="6" t="n"/>
      <c r="S392" s="6" t="n"/>
      <c r="T392" s="6" t="n"/>
      <c r="U392" s="6" t="n"/>
      <c r="V392" s="6" t="n"/>
      <c r="W392" s="6" t="n"/>
      <c r="X392" s="6" t="n"/>
      <c r="Y392" s="10" t="n"/>
      <c r="Z392" s="10" t="n"/>
      <c r="AA392" s="6" t="n"/>
      <c r="AB392" s="11" t="inlineStr">
        <is>
          <t>1,000-trial multi-family search and read-depth sweep</t>
        </is>
      </c>
      <c r="AC392" s="11" t="inlineStr">
        <is>
          <t>collapsed-taxonomy diagnostic: macro F2 0.2447 (+0.0135)</t>
        </is>
      </c>
    </row>
    <row r="393" ht="28" customHeight="1">
      <c r="A393" s="12" t="inlineStr">
        <is>
          <t>R7.61</t>
        </is>
      </c>
      <c r="B393" s="13" t="n">
        <v>46259</v>
      </c>
      <c r="C393" s="12" t="inlineStr">
        <is>
          <t>sensitive</t>
        </is>
      </c>
      <c r="D393" s="12" t="inlineStr">
        <is>
          <t>champion_1k</t>
        </is>
      </c>
      <c r="E393" s="12" t="inlineStr">
        <is>
          <t>nemotron_eval_6k</t>
        </is>
      </c>
      <c r="F393" s="14" t="inlineStr">
        <is>
          <t>T1</t>
        </is>
      </c>
      <c r="G393" s="15" t="n">
        <v>1000</v>
      </c>
      <c r="H393" s="16" t="n"/>
      <c r="I393" s="16" t="n"/>
      <c r="J393" s="16" t="n"/>
      <c r="K393" s="17" t="n"/>
      <c r="L393" s="18" t="n"/>
      <c r="M393" s="14" t="inlineStr"/>
      <c r="N393" s="19">
        <f>IFERROR(IF(P393&lt;&gt;"",IF(INDEX($P$2:$P$417,MATCH($M393,$A$2:$A$417,0))="","",P393-INDEX($P$2:$P$417,MATCH($M393,$A$2:$A$417,0))),IF(H393&lt;&gt;"",IF(INDEX($H$2:$H$417,MATCH($M393,$A$2:$A$417,0))="","",H393-INDEX($H$2:$H$417,MATCH($M393,$A$2:$A$417,0))),IF(O393&lt;&gt;"",IF(INDEX($O$2:$O$417,MATCH($M393,$A$2:$A$417,0))="","",O393-INDEX($O$2:$O$417,MATCH($M393,$A$2:$A$417,0))),IF(Q393&lt;&gt;"",IF(INDEX($Q$2:$Q$417,MATCH($M393,$A$2:$A$417,0))="","",Q393-INDEX($Q$2:$Q$417,MATCH($M393,$A$2:$A$417,0))),"")))),"")</f>
        <v/>
      </c>
      <c r="O393" s="16" t="n"/>
      <c r="P393" s="16" t="n"/>
      <c r="Q393" s="16" t="n"/>
      <c r="R393" s="16" t="n"/>
      <c r="S393" s="16" t="n"/>
      <c r="T393" s="16" t="n"/>
      <c r="U393" s="16" t="n"/>
      <c r="V393" s="16" t="n"/>
      <c r="W393" s="16" t="n"/>
      <c r="X393" s="16" t="n"/>
      <c r="Y393" s="20" t="n"/>
      <c r="Z393" s="20" t="n"/>
      <c r="AA393" s="16" t="n"/>
      <c r="AB393" s="21" t="inlineStr">
        <is>
          <t>1,000-trial multi-family search and read-depth sweep</t>
        </is>
      </c>
      <c r="AC393" s="21" t="inlineStr">
        <is>
          <t>Priority and effective-latency gates pass; macro-F2 target misses; package for research/internal use</t>
        </is>
      </c>
    </row>
    <row r="394" ht="28" customHeight="1">
      <c r="A394" s="2" t="inlineStr">
        <is>
          <t>R7.62</t>
        </is>
      </c>
      <c r="B394" s="3" t="n">
        <v>46259</v>
      </c>
      <c r="C394" s="2" t="inlineStr">
        <is>
          <t>sensitive</t>
        </is>
      </c>
      <c r="D394" s="2" t="inlineStr">
        <is>
          <t>champion_1k</t>
        </is>
      </c>
      <c r="E394" s="2" t="inlineStr">
        <is>
          <t>openpii_pii_eval_38k</t>
        </is>
      </c>
      <c r="F394" s="4" t="inlineStr">
        <is>
          <t>T1</t>
        </is>
      </c>
      <c r="G394" s="5" t="n">
        <v>1000</v>
      </c>
      <c r="H394" s="6" t="n"/>
      <c r="I394" s="6" t="n"/>
      <c r="J394" s="6" t="n"/>
      <c r="K394" s="7" t="n"/>
      <c r="L394" s="8" t="n"/>
      <c r="M394" s="4" t="inlineStr"/>
      <c r="N394" s="9">
        <f>IFERROR(IF(P394&lt;&gt;"",IF(INDEX($P$2:$P$417,MATCH($M394,$A$2:$A$417,0))="","",P394-INDEX($P$2:$P$417,MATCH($M394,$A$2:$A$417,0))),IF(H394&lt;&gt;"",IF(INDEX($H$2:$H$417,MATCH($M394,$A$2:$A$417,0))="","",H394-INDEX($H$2:$H$417,MATCH($M394,$A$2:$A$417,0))),IF(O394&lt;&gt;"",IF(INDEX($O$2:$O$417,MATCH($M394,$A$2:$A$417,0))="","",O394-INDEX($O$2:$O$417,MATCH($M394,$A$2:$A$417,0))),IF(Q394&lt;&gt;"",IF(INDEX($Q$2:$Q$417,MATCH($M394,$A$2:$A$417,0))="","",Q394-INDEX($Q$2:$Q$417,MATCH($M394,$A$2:$A$417,0))),"")))),"")</f>
        <v/>
      </c>
      <c r="O394" s="6" t="n"/>
      <c r="P394" s="6" t="n">
        <v>0.6297104771777984</v>
      </c>
      <c r="Q394" s="6" t="n">
        <v>0.6613028187086194</v>
      </c>
      <c r="R394" s="6" t="n"/>
      <c r="S394" s="6" t="n"/>
      <c r="T394" s="6" t="n"/>
      <c r="U394" s="6" t="n"/>
      <c r="V394" s="6" t="n"/>
      <c r="W394" s="6" t="n"/>
      <c r="X394" s="6" t="n"/>
      <c r="Y394" s="10" t="n"/>
      <c r="Z394" s="10" t="n"/>
      <c r="AA394" s="6" t="n"/>
      <c r="AB394" s="11" t="inlineStr">
        <is>
          <t>1,000-trial multi-family search and read-depth sweep</t>
        </is>
      </c>
      <c r="AC394" s="11" t="inlineStr">
        <is>
          <t>collapsed-taxonomy diagnostic: macro F2 0.5943 (-0.0355)</t>
        </is>
      </c>
    </row>
    <row r="395" ht="28" customHeight="1">
      <c r="A395" s="12" t="inlineStr">
        <is>
          <t>R7.63</t>
        </is>
      </c>
      <c r="B395" s="13" t="n">
        <v>46259</v>
      </c>
      <c r="C395" s="12" t="inlineStr">
        <is>
          <t>sensitive</t>
        </is>
      </c>
      <c r="D395" s="12" t="inlineStr">
        <is>
          <t>champion_1k</t>
        </is>
      </c>
      <c r="E395" s="12" t="inlineStr">
        <is>
          <t>pii2_eval_30k</t>
        </is>
      </c>
      <c r="F395" s="14" t="inlineStr">
        <is>
          <t>T1</t>
        </is>
      </c>
      <c r="G395" s="15" t="n">
        <v>1000</v>
      </c>
      <c r="H395" s="16" t="n"/>
      <c r="I395" s="16" t="n"/>
      <c r="J395" s="16" t="n"/>
      <c r="K395" s="17" t="n"/>
      <c r="L395" s="18" t="n"/>
      <c r="M395" s="14" t="inlineStr"/>
      <c r="N395" s="19">
        <f>IFERROR(IF(P395&lt;&gt;"",IF(INDEX($P$2:$P$417,MATCH($M395,$A$2:$A$417,0))="","",P395-INDEX($P$2:$P$417,MATCH($M395,$A$2:$A$417,0))),IF(H395&lt;&gt;"",IF(INDEX($H$2:$H$417,MATCH($M395,$A$2:$A$417,0))="","",H395-INDEX($H$2:$H$417,MATCH($M395,$A$2:$A$417,0))),IF(O395&lt;&gt;"",IF(INDEX($O$2:$O$417,MATCH($M395,$A$2:$A$417,0))="","",O395-INDEX($O$2:$O$417,MATCH($M395,$A$2:$A$417,0))),IF(Q395&lt;&gt;"",IF(INDEX($Q$2:$Q$417,MATCH($M395,$A$2:$A$417,0))="","",Q395-INDEX($Q$2:$Q$417,MATCH($M395,$A$2:$A$417,0))),"")))),"")</f>
        <v/>
      </c>
      <c r="O395" s="16" t="n"/>
      <c r="P395" s="16" t="n">
        <v>0.4929797300264903</v>
      </c>
      <c r="Q395" s="16" t="n">
        <v>0.2082437745321917</v>
      </c>
      <c r="R395" s="16" t="n"/>
      <c r="S395" s="16" t="n"/>
      <c r="T395" s="16" t="n"/>
      <c r="U395" s="16" t="n"/>
      <c r="V395" s="16" t="n"/>
      <c r="W395" s="16" t="n"/>
      <c r="X395" s="16" t="n"/>
      <c r="Y395" s="20" t="n"/>
      <c r="Z395" s="20" t="n"/>
      <c r="AA395" s="16" t="n"/>
      <c r="AB395" s="21" t="inlineStr">
        <is>
          <t>1,000-trial multi-family search and read-depth sweep</t>
        </is>
      </c>
      <c r="AC395" s="21" t="inlineStr">
        <is>
          <t>collapsed-taxonomy diagnostic: macro F2 0.4775 (-0.0155)</t>
        </is>
      </c>
    </row>
    <row r="396" ht="28" customHeight="1">
      <c r="A396" s="2" t="inlineStr">
        <is>
          <t>R7.64</t>
        </is>
      </c>
      <c r="B396" s="3" t="n">
        <v>46259</v>
      </c>
      <c r="C396" s="2" t="inlineStr">
        <is>
          <t>sensitive</t>
        </is>
      </c>
      <c r="D396" s="2" t="inlineStr">
        <is>
          <t>champion_1k</t>
        </is>
      </c>
      <c r="E396" s="2" t="inlineStr">
        <is>
          <t>pii_holdout_20k</t>
        </is>
      </c>
      <c r="F396" s="4" t="inlineStr">
        <is>
          <t>T1</t>
        </is>
      </c>
      <c r="G396" s="5" t="n">
        <v>1000</v>
      </c>
      <c r="H396" s="6" t="n"/>
      <c r="I396" s="6" t="n"/>
      <c r="J396" s="6" t="n"/>
      <c r="K396" s="7" t="n"/>
      <c r="L396" s="8" t="n"/>
      <c r="M396" s="4" t="inlineStr"/>
      <c r="N396" s="9">
        <f>IFERROR(IF(P396&lt;&gt;"",IF(INDEX($P$2:$P$417,MATCH($M396,$A$2:$A$417,0))="","",P396-INDEX($P$2:$P$417,MATCH($M396,$A$2:$A$417,0))),IF(H396&lt;&gt;"",IF(INDEX($H$2:$H$417,MATCH($M396,$A$2:$A$417,0))="","",H396-INDEX($H$2:$H$417,MATCH($M396,$A$2:$A$417,0))),IF(O396&lt;&gt;"",IF(INDEX($O$2:$O$417,MATCH($M396,$A$2:$A$417,0))="","",O396-INDEX($O$2:$O$417,MATCH($M396,$A$2:$A$417,0))),IF(Q396&lt;&gt;"",IF(INDEX($Q$2:$Q$417,MATCH($M396,$A$2:$A$417,0))="","",Q396-INDEX($Q$2:$Q$417,MATCH($M396,$A$2:$A$417,0))),"")))),"")</f>
        <v/>
      </c>
      <c r="O396" s="6" t="n"/>
      <c r="P396" s="6" t="n">
        <v>0.5637970921334997</v>
      </c>
      <c r="Q396" s="6" t="n">
        <v>0.4813113171335136</v>
      </c>
      <c r="R396" s="6" t="n"/>
      <c r="S396" s="6" t="n"/>
      <c r="T396" s="6" t="n"/>
      <c r="U396" s="6" t="n"/>
      <c r="V396" s="6" t="n"/>
      <c r="W396" s="6" t="n"/>
      <c r="X396" s="6" t="n"/>
      <c r="Y396" s="10" t="n"/>
      <c r="Z396" s="10" t="n"/>
      <c r="AA396" s="6" t="n"/>
      <c r="AB396" s="11" t="inlineStr">
        <is>
          <t>1,000-trial multi-family search and read-depth sweep</t>
        </is>
      </c>
      <c r="AC396" s="11" t="inlineStr">
        <is>
          <t>collapsed-taxonomy diagnostic: macro F2 0.5453 (-0.0185)</t>
        </is>
      </c>
    </row>
    <row r="397" ht="28" customHeight="1">
      <c r="A397" s="12" t="inlineStr">
        <is>
          <t>R7.65</t>
        </is>
      </c>
      <c r="B397" s="13" t="n">
        <v>46259</v>
      </c>
      <c r="C397" s="12" t="inlineStr">
        <is>
          <t>sensitive</t>
        </is>
      </c>
      <c r="D397" s="12" t="inlineStr">
        <is>
          <t>champion_1k_bootstrap</t>
        </is>
      </c>
      <c r="E397" s="12" t="inlineStr">
        <is>
          <t>8 holdouts (5 complete for F2)</t>
        </is>
      </c>
      <c r="F397" s="14" t="inlineStr">
        <is>
          <t>T1</t>
        </is>
      </c>
      <c r="G397" s="15" t="n">
        <v>1000</v>
      </c>
      <c r="H397" s="16" t="n"/>
      <c r="I397" s="16" t="n"/>
      <c r="J397" s="16" t="n"/>
      <c r="K397" s="17">
        <f>IF(OR(L397="",L397=0),"",1000/L397)</f>
        <v/>
      </c>
      <c r="L397" s="18" t="n">
        <v>2.2000839</v>
      </c>
      <c r="M397" s="14" t="inlineStr"/>
      <c r="N397" s="19">
        <f>IFERROR(IF(P397&lt;&gt;"",IF(INDEX($P$2:$P$417,MATCH($M397,$A$2:$A$417,0))="","",P397-INDEX($P$2:$P$417,MATCH($M397,$A$2:$A$417,0))),IF(H397&lt;&gt;"",IF(INDEX($H$2:$H$417,MATCH($M397,$A$2:$A$417,0))="","",H397-INDEX($H$2:$H$417,MATCH($M397,$A$2:$A$417,0))),IF(O397&lt;&gt;"",IF(INDEX($O$2:$O$417,MATCH($M397,$A$2:$A$417,0))="","",O397-INDEX($O$2:$O$417,MATCH($M397,$A$2:$A$417,0))),IF(Q397&lt;&gt;"",IF(INDEX($Q$2:$Q$417,MATCH($M397,$A$2:$A$417,0))="","",Q397-INDEX($Q$2:$Q$417,MATCH($M397,$A$2:$A$417,0))),"")))),"")</f>
        <v/>
      </c>
      <c r="O397" s="16" t="n"/>
      <c r="P397" s="16" t="n">
        <v>0.4834574938201012</v>
      </c>
      <c r="Q397" s="16" t="n">
        <v>0.3811839608053426</v>
      </c>
      <c r="R397" s="16" t="n"/>
      <c r="S397" s="16" t="n"/>
      <c r="T397" s="16" t="n"/>
      <c r="U397" s="16" t="n"/>
      <c r="V397" s="16" t="n"/>
      <c r="W397" s="16" t="n"/>
      <c r="X397" s="16" t="n"/>
      <c r="Y397" s="20" t="n"/>
      <c r="Z397" s="20" t="n"/>
      <c r="AA397" s="16" t="n"/>
      <c r="AB397" s="21" t="inlineStr">
        <is>
          <t>Final 1k per-label fusion; 1,000 bootstrap resamples</t>
        </is>
      </c>
      <c r="AC397" s="21" t="inlineStr">
        <is>
          <t>55/55 priority gates conclusively pass; latency passes; macro-F2 target 0.90 misses</t>
        </is>
      </c>
    </row>
    <row r="398" ht="28" customHeight="1">
      <c r="A398" s="2" t="inlineStr">
        <is>
          <t>R7.66</t>
        </is>
      </c>
      <c r="B398" s="3" t="n">
        <v>46259</v>
      </c>
      <c r="C398" s="2" t="inlineStr">
        <is>
          <t>sensitive</t>
        </is>
      </c>
      <c r="D398" s="2" t="inlineStr">
        <is>
          <t>hash_sgd_readpass</t>
        </is>
      </c>
      <c r="E398" s="2" t="inlineStr">
        <is>
          <t>8 holdouts / fixed 1,000-doc latency sample</t>
        </is>
      </c>
      <c r="F398" s="4" t="inlineStr">
        <is>
          <t>T1</t>
        </is>
      </c>
      <c r="G398" s="5" t="n">
        <v>1000</v>
      </c>
      <c r="H398" s="6" t="n"/>
      <c r="I398" s="6" t="n"/>
      <c r="J398" s="6" t="n"/>
      <c r="K398" s="7">
        <f>IF(OR(L398="",L398=0),"",1000/L398)</f>
        <v/>
      </c>
      <c r="L398" s="8" t="n">
        <v>1.0153935</v>
      </c>
      <c r="M398" s="4" t="inlineStr"/>
      <c r="N398" s="9">
        <f>IFERROR(IF(P398&lt;&gt;"",IF(INDEX($P$2:$P$417,MATCH($M398,$A$2:$A$417,0))="","",P398-INDEX($P$2:$P$417,MATCH($M398,$A$2:$A$417,0))),IF(H398&lt;&gt;"",IF(INDEX($H$2:$H$417,MATCH($M398,$A$2:$A$417,0))="","",H398-INDEX($H$2:$H$417,MATCH($M398,$A$2:$A$417,0))),IF(O398&lt;&gt;"",IF(INDEX($O$2:$O$417,MATCH($M398,$A$2:$A$417,0))="","",O398-INDEX($O$2:$O$417,MATCH($M398,$A$2:$A$417,0))),IF(Q398&lt;&gt;"",IF(INDEX($Q$2:$Q$417,MATCH($M398,$A$2:$A$417,0))="","",Q398-INDEX($Q$2:$Q$417,MATCH($M398,$A$2:$A$417,0))),"")))),"")</f>
        <v/>
      </c>
      <c r="O398" s="6" t="n"/>
      <c r="P398" s="6" t="n">
        <v>0.4313588275274323</v>
      </c>
      <c r="Q398" s="6" t="n">
        <v>0.3535723460464226</v>
      </c>
      <c r="R398" s="6" t="n"/>
      <c r="S398" s="6" t="n"/>
      <c r="T398" s="6" t="n"/>
      <c r="U398" s="6" t="n"/>
      <c r="V398" s="6" t="n"/>
      <c r="W398" s="6" t="n"/>
      <c r="X398" s="6" t="n"/>
      <c r="Y398" s="10" t="n"/>
      <c r="Z398" s="10" t="n"/>
      <c r="AA398" s="6" t="n"/>
      <c r="AB398" s="11" t="inlineStr">
        <is>
          <t>Read-pass sweep at 1000 characters</t>
        </is>
      </c>
      <c r="AC398" s="11" t="inlineStr">
        <is>
          <t>55/55 priority point gates pass</t>
        </is>
      </c>
    </row>
    <row r="399" ht="28" customHeight="1">
      <c r="A399" s="12" t="inlineStr">
        <is>
          <t>R7.67</t>
        </is>
      </c>
      <c r="B399" s="13" t="n">
        <v>46259</v>
      </c>
      <c r="C399" s="12" t="inlineStr">
        <is>
          <t>sensitive</t>
        </is>
      </c>
      <c r="D399" s="12" t="inlineStr">
        <is>
          <t>hash_sgd_readpass</t>
        </is>
      </c>
      <c r="E399" s="12" t="inlineStr">
        <is>
          <t>8 holdouts / fixed 1,000-doc latency sample</t>
        </is>
      </c>
      <c r="F399" s="14" t="inlineStr">
        <is>
          <t>T1</t>
        </is>
      </c>
      <c r="G399" s="15" t="n">
        <v>2500</v>
      </c>
      <c r="H399" s="16" t="n"/>
      <c r="I399" s="16" t="n"/>
      <c r="J399" s="16" t="n"/>
      <c r="K399" s="17">
        <f>IF(OR(L399="",L399=0),"",1000/L399)</f>
        <v/>
      </c>
      <c r="L399" s="18" t="n">
        <v>2.068191549999999</v>
      </c>
      <c r="M399" s="14" t="inlineStr"/>
      <c r="N399" s="19">
        <f>IFERROR(IF(P399&lt;&gt;"",IF(INDEX($P$2:$P$417,MATCH($M399,$A$2:$A$417,0))="","",P399-INDEX($P$2:$P$417,MATCH($M399,$A$2:$A$417,0))),IF(H399&lt;&gt;"",IF(INDEX($H$2:$H$417,MATCH($M399,$A$2:$A$417,0))="","",H399-INDEX($H$2:$H$417,MATCH($M399,$A$2:$A$417,0))),IF(O399&lt;&gt;"",IF(INDEX($O$2:$O$417,MATCH($M399,$A$2:$A$417,0))="","",O399-INDEX($O$2:$O$417,MATCH($M399,$A$2:$A$417,0))),IF(Q399&lt;&gt;"",IF(INDEX($Q$2:$Q$417,MATCH($M399,$A$2:$A$417,0))="","",Q399-INDEX($Q$2:$Q$417,MATCH($M399,$A$2:$A$417,0))),"")))),"")</f>
        <v/>
      </c>
      <c r="O399" s="16" t="n"/>
      <c r="P399" s="16" t="n">
        <v>0.4244872565472262</v>
      </c>
      <c r="Q399" s="16" t="n">
        <v>0.3470401073841728</v>
      </c>
      <c r="R399" s="16" t="n"/>
      <c r="S399" s="16" t="n"/>
      <c r="T399" s="16" t="n"/>
      <c r="U399" s="16" t="n"/>
      <c r="V399" s="16" t="n"/>
      <c r="W399" s="16" t="n"/>
      <c r="X399" s="16" t="n"/>
      <c r="Y399" s="20" t="n"/>
      <c r="Z399" s="20" t="n"/>
      <c r="AA399" s="16" t="n"/>
      <c r="AB399" s="21" t="inlineStr">
        <is>
          <t>Read-pass sweep at 2500 characters</t>
        </is>
      </c>
      <c r="AC399" s="21" t="inlineStr">
        <is>
          <t>55/55 priority point gates pass</t>
        </is>
      </c>
    </row>
    <row r="400" ht="28" customHeight="1">
      <c r="A400" s="2" t="inlineStr">
        <is>
          <t>R7.68</t>
        </is>
      </c>
      <c r="B400" s="3" t="n">
        <v>46259</v>
      </c>
      <c r="C400" s="2" t="inlineStr">
        <is>
          <t>sensitive</t>
        </is>
      </c>
      <c r="D400" s="2" t="inlineStr">
        <is>
          <t>hash_sgd_readpass</t>
        </is>
      </c>
      <c r="E400" s="2" t="inlineStr">
        <is>
          <t>8 holdouts / fixed 1,000-doc latency sample</t>
        </is>
      </c>
      <c r="F400" s="4" t="inlineStr">
        <is>
          <t>T1</t>
        </is>
      </c>
      <c r="G400" s="5" t="n">
        <v>10000</v>
      </c>
      <c r="H400" s="6" t="n"/>
      <c r="I400" s="6" t="n"/>
      <c r="J400" s="6" t="n"/>
      <c r="K400" s="7">
        <f>IF(OR(L400="",L400=0),"",1000/L400)</f>
        <v/>
      </c>
      <c r="L400" s="8" t="n">
        <v>4.88856525</v>
      </c>
      <c r="M400" s="4" t="inlineStr"/>
      <c r="N400" s="9">
        <f>IFERROR(IF(P400&lt;&gt;"",IF(INDEX($P$2:$P$417,MATCH($M400,$A$2:$A$417,0))="","",P400-INDEX($P$2:$P$417,MATCH($M400,$A$2:$A$417,0))),IF(H400&lt;&gt;"",IF(INDEX($H$2:$H$417,MATCH($M400,$A$2:$A$417,0))="","",H400-INDEX($H$2:$H$417,MATCH($M400,$A$2:$A$417,0))),IF(O400&lt;&gt;"",IF(INDEX($O$2:$O$417,MATCH($M400,$A$2:$A$417,0))="","",O400-INDEX($O$2:$O$417,MATCH($M400,$A$2:$A$417,0))),IF(Q400&lt;&gt;"",IF(INDEX($Q$2:$Q$417,MATCH($M400,$A$2:$A$417,0))="","",Q400-INDEX($Q$2:$Q$417,MATCH($M400,$A$2:$A$417,0))),"")))),"")</f>
        <v/>
      </c>
      <c r="O400" s="6" t="n"/>
      <c r="P400" s="6" t="n">
        <v>0.423460542503527</v>
      </c>
      <c r="Q400" s="6" t="n">
        <v>0.3452538287367654</v>
      </c>
      <c r="R400" s="6" t="n"/>
      <c r="S400" s="6" t="n"/>
      <c r="T400" s="6" t="n"/>
      <c r="U400" s="6" t="n"/>
      <c r="V400" s="6" t="n"/>
      <c r="W400" s="6" t="n"/>
      <c r="X400" s="6" t="n"/>
      <c r="Y400" s="10" t="n"/>
      <c r="Z400" s="10" t="n"/>
      <c r="AA400" s="6" t="n"/>
      <c r="AB400" s="11" t="inlineStr">
        <is>
          <t>Read-pass sweep at 10000 characters</t>
        </is>
      </c>
      <c r="AC400" s="11" t="inlineStr">
        <is>
          <t>55/55 priority point gates pass</t>
        </is>
      </c>
    </row>
    <row r="401" ht="28" customHeight="1">
      <c r="A401" s="12" t="inlineStr">
        <is>
          <t>R7.69</t>
        </is>
      </c>
      <c r="B401" s="13" t="n">
        <v>46259</v>
      </c>
      <c r="C401" s="12" t="inlineStr">
        <is>
          <t>sensitive</t>
        </is>
      </c>
      <c r="D401" s="12" t="inlineStr">
        <is>
          <t>hash_sgd_readpass</t>
        </is>
      </c>
      <c r="E401" s="12" t="inlineStr">
        <is>
          <t>8 holdouts / fixed 1,000-doc latency sample</t>
        </is>
      </c>
      <c r="F401" s="14" t="inlineStr">
        <is>
          <t>T2</t>
        </is>
      </c>
      <c r="G401" s="15" t="n">
        <v>20000</v>
      </c>
      <c r="H401" s="16" t="n"/>
      <c r="I401" s="16" t="n"/>
      <c r="J401" s="16" t="n"/>
      <c r="K401" s="17">
        <f>IF(OR(L401="",L401=0),"",1000/L401)</f>
        <v/>
      </c>
      <c r="L401" s="18" t="n">
        <v>6.8412696</v>
      </c>
      <c r="M401" s="14" t="inlineStr"/>
      <c r="N401" s="19">
        <f>IFERROR(IF(P401&lt;&gt;"",IF(INDEX($P$2:$P$417,MATCH($M401,$A$2:$A$417,0))="","",P401-INDEX($P$2:$P$417,MATCH($M401,$A$2:$A$417,0))),IF(H401&lt;&gt;"",IF(INDEX($H$2:$H$417,MATCH($M401,$A$2:$A$417,0))="","",H401-INDEX($H$2:$H$417,MATCH($M401,$A$2:$A$417,0))),IF(O401&lt;&gt;"",IF(INDEX($O$2:$O$417,MATCH($M401,$A$2:$A$417,0))="","",O401-INDEX($O$2:$O$417,MATCH($M401,$A$2:$A$417,0))),IF(Q401&lt;&gt;"",IF(INDEX($Q$2:$Q$417,MATCH($M401,$A$2:$A$417,0))="","",Q401-INDEX($Q$2:$Q$417,MATCH($M401,$A$2:$A$417,0))),"")))),"")</f>
        <v/>
      </c>
      <c r="O401" s="16" t="n"/>
      <c r="P401" s="16" t="n">
        <v>0.4233696931291113</v>
      </c>
      <c r="Q401" s="16" t="n">
        <v>0.3452229888446529</v>
      </c>
      <c r="R401" s="16" t="n"/>
      <c r="S401" s="16" t="n"/>
      <c r="T401" s="16" t="n"/>
      <c r="U401" s="16" t="n"/>
      <c r="V401" s="16" t="n"/>
      <c r="W401" s="16" t="n"/>
      <c r="X401" s="16" t="n"/>
      <c r="Y401" s="20" t="n"/>
      <c r="Z401" s="20" t="n"/>
      <c r="AA401" s="16" t="n"/>
      <c r="AB401" s="21" t="inlineStr">
        <is>
          <t>Read-pass sweep at 20000 characters</t>
        </is>
      </c>
      <c r="AC401" s="21" t="inlineStr">
        <is>
          <t>55/55 priority point gates pass</t>
        </is>
      </c>
    </row>
    <row r="402" ht="28" customHeight="1">
      <c r="A402" s="2" t="inlineStr">
        <is>
          <t>R7.70</t>
        </is>
      </c>
      <c r="B402" s="3" t="n">
        <v>46259</v>
      </c>
      <c r="C402" s="2" t="inlineStr">
        <is>
          <t>sensitive</t>
        </is>
      </c>
      <c r="D402" s="2" t="inlineStr">
        <is>
          <t>hybrid_priority_001_readpass</t>
        </is>
      </c>
      <c r="E402" s="2" t="inlineStr">
        <is>
          <t>8 holdouts / fixed 1,000-doc latency sample</t>
        </is>
      </c>
      <c r="F402" s="4" t="inlineStr">
        <is>
          <t>T1</t>
        </is>
      </c>
      <c r="G402" s="5" t="n">
        <v>1000</v>
      </c>
      <c r="H402" s="6" t="n"/>
      <c r="I402" s="6" t="n"/>
      <c r="J402" s="6" t="n"/>
      <c r="K402" s="7">
        <f>IF(OR(L402="",L402=0),"",1000/L402)</f>
        <v/>
      </c>
      <c r="L402" s="8" t="n">
        <v>1.48368795</v>
      </c>
      <c r="M402" s="4" t="inlineStr"/>
      <c r="N402" s="9">
        <f>IFERROR(IF(P402&lt;&gt;"",IF(INDEX($P$2:$P$417,MATCH($M402,$A$2:$A$417,0))="","",P402-INDEX($P$2:$P$417,MATCH($M402,$A$2:$A$417,0))),IF(H402&lt;&gt;"",IF(INDEX($H$2:$H$417,MATCH($M402,$A$2:$A$417,0))="","",H402-INDEX($H$2:$H$417,MATCH($M402,$A$2:$A$417,0))),IF(O402&lt;&gt;"",IF(INDEX($O$2:$O$417,MATCH($M402,$A$2:$A$417,0))="","",O402-INDEX($O$2:$O$417,MATCH($M402,$A$2:$A$417,0))),IF(Q402&lt;&gt;"",IF(INDEX($Q$2:$Q$417,MATCH($M402,$A$2:$A$417,0))="","",Q402-INDEX($Q$2:$Q$417,MATCH($M402,$A$2:$A$417,0))),"")))),"")</f>
        <v/>
      </c>
      <c r="O402" s="6" t="n"/>
      <c r="P402" s="6" t="n">
        <v>0.4522742161464675</v>
      </c>
      <c r="Q402" s="6" t="n">
        <v>0.3683095118870541</v>
      </c>
      <c r="R402" s="6" t="n"/>
      <c r="S402" s="6" t="n"/>
      <c r="T402" s="6" t="n"/>
      <c r="U402" s="6" t="n"/>
      <c r="V402" s="6" t="n"/>
      <c r="W402" s="6" t="n"/>
      <c r="X402" s="6" t="n"/>
      <c r="Y402" s="10" t="n"/>
      <c r="Z402" s="10" t="n"/>
      <c r="AA402" s="6" t="n"/>
      <c r="AB402" s="11" t="inlineStr">
        <is>
          <t>Read-pass sweep at 1000 characters</t>
        </is>
      </c>
      <c r="AC402" s="11" t="inlineStr">
        <is>
          <t>55/55 priority point gates pass</t>
        </is>
      </c>
    </row>
    <row r="403" ht="28" customHeight="1">
      <c r="A403" s="12" t="inlineStr">
        <is>
          <t>R7.71</t>
        </is>
      </c>
      <c r="B403" s="13" t="n">
        <v>46259</v>
      </c>
      <c r="C403" s="12" t="inlineStr">
        <is>
          <t>sensitive</t>
        </is>
      </c>
      <c r="D403" s="12" t="inlineStr">
        <is>
          <t>hybrid_priority_001_readpass</t>
        </is>
      </c>
      <c r="E403" s="12" t="inlineStr">
        <is>
          <t>8 holdouts / fixed 1,000-doc latency sample</t>
        </is>
      </c>
      <c r="F403" s="14" t="inlineStr">
        <is>
          <t>T1</t>
        </is>
      </c>
      <c r="G403" s="15" t="n">
        <v>2500</v>
      </c>
      <c r="H403" s="16" t="n"/>
      <c r="I403" s="16" t="n"/>
      <c r="J403" s="16" t="n"/>
      <c r="K403" s="17">
        <f>IF(OR(L403="",L403=0),"",1000/L403)</f>
        <v/>
      </c>
      <c r="L403" s="18" t="n">
        <v>2.926981849999999</v>
      </c>
      <c r="M403" s="14" t="inlineStr"/>
      <c r="N403" s="19">
        <f>IFERROR(IF(P403&lt;&gt;"",IF(INDEX($P$2:$P$417,MATCH($M403,$A$2:$A$417,0))="","",P403-INDEX($P$2:$P$417,MATCH($M403,$A$2:$A$417,0))),IF(H403&lt;&gt;"",IF(INDEX($H$2:$H$417,MATCH($M403,$A$2:$A$417,0))="","",H403-INDEX($H$2:$H$417,MATCH($M403,$A$2:$A$417,0))),IF(O403&lt;&gt;"",IF(INDEX($O$2:$O$417,MATCH($M403,$A$2:$A$417,0))="","",O403-INDEX($O$2:$O$417,MATCH($M403,$A$2:$A$417,0))),IF(Q403&lt;&gt;"",IF(INDEX($Q$2:$Q$417,MATCH($M403,$A$2:$A$417,0))="","",Q403-INDEX($Q$2:$Q$417,MATCH($M403,$A$2:$A$417,0))),"")))),"")</f>
        <v/>
      </c>
      <c r="O403" s="16" t="n"/>
      <c r="P403" s="16" t="n">
        <v>0.4470192036586162</v>
      </c>
      <c r="Q403" s="16" t="n">
        <v>0.3646818655480555</v>
      </c>
      <c r="R403" s="16" t="n"/>
      <c r="S403" s="16" t="n"/>
      <c r="T403" s="16" t="n"/>
      <c r="U403" s="16" t="n"/>
      <c r="V403" s="16" t="n"/>
      <c r="W403" s="16" t="n"/>
      <c r="X403" s="16" t="n"/>
      <c r="Y403" s="20" t="n"/>
      <c r="Z403" s="20" t="n"/>
      <c r="AA403" s="16" t="n"/>
      <c r="AB403" s="21" t="inlineStr">
        <is>
          <t>Read-pass sweep at 2500 characters</t>
        </is>
      </c>
      <c r="AC403" s="21" t="inlineStr">
        <is>
          <t>55/55 priority point gates pass</t>
        </is>
      </c>
    </row>
    <row r="404" ht="28" customHeight="1">
      <c r="A404" s="2" t="inlineStr">
        <is>
          <t>R7.72</t>
        </is>
      </c>
      <c r="B404" s="3" t="n">
        <v>46259</v>
      </c>
      <c r="C404" s="2" t="inlineStr">
        <is>
          <t>sensitive</t>
        </is>
      </c>
      <c r="D404" s="2" t="inlineStr">
        <is>
          <t>hybrid_priority_001_readpass</t>
        </is>
      </c>
      <c r="E404" s="2" t="inlineStr">
        <is>
          <t>8 holdouts / fixed 1,000-doc latency sample</t>
        </is>
      </c>
      <c r="F404" s="4" t="inlineStr">
        <is>
          <t>T2</t>
        </is>
      </c>
      <c r="G404" s="5" t="n">
        <v>10000</v>
      </c>
      <c r="H404" s="6" t="n"/>
      <c r="I404" s="6" t="n"/>
      <c r="J404" s="6" t="n"/>
      <c r="K404" s="7">
        <f>IF(OR(L404="",L404=0),"",1000/L404)</f>
        <v/>
      </c>
      <c r="L404" s="8" t="n">
        <v>5.701291099999999</v>
      </c>
      <c r="M404" s="4" t="inlineStr"/>
      <c r="N404" s="9">
        <f>IFERROR(IF(P404&lt;&gt;"",IF(INDEX($P$2:$P$417,MATCH($M404,$A$2:$A$417,0))="","",P404-INDEX($P$2:$P$417,MATCH($M404,$A$2:$A$417,0))),IF(H404&lt;&gt;"",IF(INDEX($H$2:$H$417,MATCH($M404,$A$2:$A$417,0))="","",H404-INDEX($H$2:$H$417,MATCH($M404,$A$2:$A$417,0))),IF(O404&lt;&gt;"",IF(INDEX($O$2:$O$417,MATCH($M404,$A$2:$A$417,0))="","",O404-INDEX($O$2:$O$417,MATCH($M404,$A$2:$A$417,0))),IF(Q404&lt;&gt;"",IF(INDEX($Q$2:$Q$417,MATCH($M404,$A$2:$A$417,0))="","",Q404-INDEX($Q$2:$Q$417,MATCH($M404,$A$2:$A$417,0))),"")))),"")</f>
        <v/>
      </c>
      <c r="O404" s="6" t="n"/>
      <c r="P404" s="6" t="n">
        <v>0.4466240745313433</v>
      </c>
      <c r="Q404" s="6" t="n">
        <v>0.3633970176265691</v>
      </c>
      <c r="R404" s="6" t="n"/>
      <c r="S404" s="6" t="n"/>
      <c r="T404" s="6" t="n"/>
      <c r="U404" s="6" t="n"/>
      <c r="V404" s="6" t="n"/>
      <c r="W404" s="6" t="n"/>
      <c r="X404" s="6" t="n"/>
      <c r="Y404" s="10" t="n"/>
      <c r="Z404" s="10" t="n"/>
      <c r="AA404" s="6" t="n"/>
      <c r="AB404" s="11" t="inlineStr">
        <is>
          <t>Read-pass sweep at 10000 characters</t>
        </is>
      </c>
      <c r="AC404" s="11" t="inlineStr">
        <is>
          <t>55/55 priority point gates pass</t>
        </is>
      </c>
    </row>
    <row r="405" ht="28" customHeight="1">
      <c r="A405" s="12" t="inlineStr">
        <is>
          <t>R7.73</t>
        </is>
      </c>
      <c r="B405" s="13" t="n">
        <v>46259</v>
      </c>
      <c r="C405" s="12" t="inlineStr">
        <is>
          <t>sensitive</t>
        </is>
      </c>
      <c r="D405" s="12" t="inlineStr">
        <is>
          <t>hybrid_priority_001_readpass</t>
        </is>
      </c>
      <c r="E405" s="12" t="inlineStr">
        <is>
          <t>8 holdouts / fixed 1,000-doc latency sample</t>
        </is>
      </c>
      <c r="F405" s="14" t="inlineStr">
        <is>
          <t>T2</t>
        </is>
      </c>
      <c r="G405" s="15" t="n">
        <v>20000</v>
      </c>
      <c r="H405" s="16" t="n"/>
      <c r="I405" s="16" t="n"/>
      <c r="J405" s="16" t="n"/>
      <c r="K405" s="17">
        <f>IF(OR(L405="",L405=0),"",1000/L405)</f>
        <v/>
      </c>
      <c r="L405" s="18" t="n">
        <v>7.64901075</v>
      </c>
      <c r="M405" s="14" t="inlineStr"/>
      <c r="N405" s="19">
        <f>IFERROR(IF(P405&lt;&gt;"",IF(INDEX($P$2:$P$417,MATCH($M405,$A$2:$A$417,0))="","",P405-INDEX($P$2:$P$417,MATCH($M405,$A$2:$A$417,0))),IF(H405&lt;&gt;"",IF(INDEX($H$2:$H$417,MATCH($M405,$A$2:$A$417,0))="","",H405-INDEX($H$2:$H$417,MATCH($M405,$A$2:$A$417,0))),IF(O405&lt;&gt;"",IF(INDEX($O$2:$O$417,MATCH($M405,$A$2:$A$417,0))="","",O405-INDEX($O$2:$O$417,MATCH($M405,$A$2:$A$417,0))),IF(Q405&lt;&gt;"",IF(INDEX($Q$2:$Q$417,MATCH($M405,$A$2:$A$417,0))="","",Q405-INDEX($Q$2:$Q$417,MATCH($M405,$A$2:$A$417,0))),"")))),"")</f>
        <v/>
      </c>
      <c r="O405" s="16" t="n"/>
      <c r="P405" s="16" t="n">
        <v>0.4466479172234951</v>
      </c>
      <c r="Q405" s="16" t="n">
        <v>0.3634095748846606</v>
      </c>
      <c r="R405" s="16" t="n"/>
      <c r="S405" s="16" t="n"/>
      <c r="T405" s="16" t="n"/>
      <c r="U405" s="16" t="n"/>
      <c r="V405" s="16" t="n"/>
      <c r="W405" s="16" t="n"/>
      <c r="X405" s="16" t="n"/>
      <c r="Y405" s="20" t="n"/>
      <c r="Z405" s="20" t="n"/>
      <c r="AA405" s="16" t="n"/>
      <c r="AB405" s="21" t="inlineStr">
        <is>
          <t>Read-pass sweep at 20000 characters</t>
        </is>
      </c>
      <c r="AC405" s="21" t="inlineStr">
        <is>
          <t>55/55 priority point gates pass</t>
        </is>
      </c>
    </row>
    <row r="406" ht="28" customHeight="1">
      <c r="A406" s="2" t="inlineStr">
        <is>
          <t>R7.74</t>
        </is>
      </c>
      <c r="B406" s="3" t="n">
        <v>46259</v>
      </c>
      <c r="C406" s="2" t="inlineStr">
        <is>
          <t>sensitive</t>
        </is>
      </c>
      <c r="D406" s="2" t="inlineStr">
        <is>
          <t>hybrid_priority_readpass</t>
        </is>
      </c>
      <c r="E406" s="2" t="inlineStr">
        <is>
          <t>8 holdouts / fixed 1,000-doc latency sample</t>
        </is>
      </c>
      <c r="F406" s="4" t="inlineStr">
        <is>
          <t>T1</t>
        </is>
      </c>
      <c r="G406" s="5" t="n">
        <v>1000</v>
      </c>
      <c r="H406" s="6" t="n"/>
      <c r="I406" s="6" t="n"/>
      <c r="J406" s="6" t="n"/>
      <c r="K406" s="7">
        <f>IF(OR(L406="",L406=0),"",1000/L406)</f>
        <v/>
      </c>
      <c r="L406" s="8" t="n">
        <v>2.2000839</v>
      </c>
      <c r="M406" s="4" t="inlineStr"/>
      <c r="N406" s="9">
        <f>IFERROR(IF(P406&lt;&gt;"",IF(INDEX($P$2:$P$417,MATCH($M406,$A$2:$A$417,0))="","",P406-INDEX($P$2:$P$417,MATCH($M406,$A$2:$A$417,0))),IF(H406&lt;&gt;"",IF(INDEX($H$2:$H$417,MATCH($M406,$A$2:$A$417,0))="","",H406-INDEX($H$2:$H$417,MATCH($M406,$A$2:$A$417,0))),IF(O406&lt;&gt;"",IF(INDEX($O$2:$O$417,MATCH($M406,$A$2:$A$417,0))="","",O406-INDEX($O$2:$O$417,MATCH($M406,$A$2:$A$417,0))),IF(Q406&lt;&gt;"",IF(INDEX($Q$2:$Q$417,MATCH($M406,$A$2:$A$417,0))="","",Q406-INDEX($Q$2:$Q$417,MATCH($M406,$A$2:$A$417,0))),"")))),"")</f>
        <v/>
      </c>
      <c r="O406" s="6" t="n"/>
      <c r="P406" s="6" t="n">
        <v>0.4834574938201012</v>
      </c>
      <c r="Q406" s="6" t="n">
        <v>0.3811839608053426</v>
      </c>
      <c r="R406" s="6" t="n"/>
      <c r="S406" s="6" t="n"/>
      <c r="T406" s="6" t="n"/>
      <c r="U406" s="6" t="n"/>
      <c r="V406" s="6" t="n"/>
      <c r="W406" s="6" t="n"/>
      <c r="X406" s="6" t="n"/>
      <c r="Y406" s="10" t="n"/>
      <c r="Z406" s="10" t="n"/>
      <c r="AA406" s="6" t="n"/>
      <c r="AB406" s="11" t="inlineStr">
        <is>
          <t>Read-pass sweep at 1000 characters</t>
        </is>
      </c>
      <c r="AC406" s="11" t="inlineStr">
        <is>
          <t>55/55 priority point gates pass</t>
        </is>
      </c>
    </row>
    <row r="407" ht="28" customHeight="1">
      <c r="A407" s="12" t="inlineStr">
        <is>
          <t>R7.75</t>
        </is>
      </c>
      <c r="B407" s="13" t="n">
        <v>46259</v>
      </c>
      <c r="C407" s="12" t="inlineStr">
        <is>
          <t>sensitive</t>
        </is>
      </c>
      <c r="D407" s="12" t="inlineStr">
        <is>
          <t>hybrid_priority_readpass</t>
        </is>
      </c>
      <c r="E407" s="12" t="inlineStr">
        <is>
          <t>8 holdouts / fixed 1,000-doc latency sample</t>
        </is>
      </c>
      <c r="F407" s="14" t="inlineStr">
        <is>
          <t>T1</t>
        </is>
      </c>
      <c r="G407" s="15" t="n">
        <v>2500</v>
      </c>
      <c r="H407" s="16" t="n"/>
      <c r="I407" s="16" t="n"/>
      <c r="J407" s="16" t="n"/>
      <c r="K407" s="17">
        <f>IF(OR(L407="",L407=0),"",1000/L407)</f>
        <v/>
      </c>
      <c r="L407" s="18" t="n">
        <v>4.211190449999999</v>
      </c>
      <c r="M407" s="14" t="inlineStr"/>
      <c r="N407" s="19">
        <f>IFERROR(IF(P407&lt;&gt;"",IF(INDEX($P$2:$P$417,MATCH($M407,$A$2:$A$417,0))="","",P407-INDEX($P$2:$P$417,MATCH($M407,$A$2:$A$417,0))),IF(H407&lt;&gt;"",IF(INDEX($H$2:$H$417,MATCH($M407,$A$2:$A$417,0))="","",H407-INDEX($H$2:$H$417,MATCH($M407,$A$2:$A$417,0))),IF(O407&lt;&gt;"",IF(INDEX($O$2:$O$417,MATCH($M407,$A$2:$A$417,0))="","",O407-INDEX($O$2:$O$417,MATCH($M407,$A$2:$A$417,0))),IF(Q407&lt;&gt;"",IF(INDEX($Q$2:$Q$417,MATCH($M407,$A$2:$A$417,0))="","",Q407-INDEX($Q$2:$Q$417,MATCH($M407,$A$2:$A$417,0))),"")))),"")</f>
        <v/>
      </c>
      <c r="O407" s="16" t="n"/>
      <c r="P407" s="16" t="n">
        <v>0.4796800822473152</v>
      </c>
      <c r="Q407" s="16" t="n">
        <v>0.3801305749578347</v>
      </c>
      <c r="R407" s="16" t="n"/>
      <c r="S407" s="16" t="n"/>
      <c r="T407" s="16" t="n"/>
      <c r="U407" s="16" t="n"/>
      <c r="V407" s="16" t="n"/>
      <c r="W407" s="16" t="n"/>
      <c r="X407" s="16" t="n"/>
      <c r="Y407" s="20" t="n"/>
      <c r="Z407" s="20" t="n"/>
      <c r="AA407" s="16" t="n"/>
      <c r="AB407" s="21" t="inlineStr">
        <is>
          <t>Read-pass sweep at 2500 characters</t>
        </is>
      </c>
      <c r="AC407" s="21" t="inlineStr">
        <is>
          <t>55/55 priority point gates pass</t>
        </is>
      </c>
    </row>
    <row r="408" ht="28" customHeight="1">
      <c r="A408" s="2" t="inlineStr">
        <is>
          <t>R7.76</t>
        </is>
      </c>
      <c r="B408" s="3" t="n">
        <v>46259</v>
      </c>
      <c r="C408" s="2" t="inlineStr">
        <is>
          <t>sensitive</t>
        </is>
      </c>
      <c r="D408" s="2" t="inlineStr">
        <is>
          <t>hybrid_priority_readpass</t>
        </is>
      </c>
      <c r="E408" s="2" t="inlineStr">
        <is>
          <t>8 holdouts / fixed 1,000-doc latency sample</t>
        </is>
      </c>
      <c r="F408" s="4" t="inlineStr">
        <is>
          <t>T2</t>
        </is>
      </c>
      <c r="G408" s="5" t="n">
        <v>10000</v>
      </c>
      <c r="H408" s="6" t="n"/>
      <c r="I408" s="6" t="n"/>
      <c r="J408" s="6" t="n"/>
      <c r="K408" s="7">
        <f>IF(OR(L408="",L408=0),"",1000/L408)</f>
        <v/>
      </c>
      <c r="L408" s="8" t="n">
        <v>6.766443999999999</v>
      </c>
      <c r="M408" s="4" t="inlineStr"/>
      <c r="N408" s="9">
        <f>IFERROR(IF(P408&lt;&gt;"",IF(INDEX($P$2:$P$417,MATCH($M408,$A$2:$A$417,0))="","",P408-INDEX($P$2:$P$417,MATCH($M408,$A$2:$A$417,0))),IF(H408&lt;&gt;"",IF(INDEX($H$2:$H$417,MATCH($M408,$A$2:$A$417,0))="","",H408-INDEX($H$2:$H$417,MATCH($M408,$A$2:$A$417,0))),IF(O408&lt;&gt;"",IF(INDEX($O$2:$O$417,MATCH($M408,$A$2:$A$417,0))="","",O408-INDEX($O$2:$O$417,MATCH($M408,$A$2:$A$417,0))),IF(Q408&lt;&gt;"",IF(INDEX($Q$2:$Q$417,MATCH($M408,$A$2:$A$417,0))="","",Q408-INDEX($Q$2:$Q$417,MATCH($M408,$A$2:$A$417,0))),"")))),"")</f>
        <v/>
      </c>
      <c r="O408" s="6" t="n"/>
      <c r="P408" s="6" t="n">
        <v>0.4798996294441064</v>
      </c>
      <c r="Q408" s="6" t="n">
        <v>0.3791553452600064</v>
      </c>
      <c r="R408" s="6" t="n"/>
      <c r="S408" s="6" t="n"/>
      <c r="T408" s="6" t="n"/>
      <c r="U408" s="6" t="n"/>
      <c r="V408" s="6" t="n"/>
      <c r="W408" s="6" t="n"/>
      <c r="X408" s="6" t="n"/>
      <c r="Y408" s="10" t="n"/>
      <c r="Z408" s="10" t="n"/>
      <c r="AA408" s="6" t="n"/>
      <c r="AB408" s="11" t="inlineStr">
        <is>
          <t>Read-pass sweep at 10000 characters</t>
        </is>
      </c>
      <c r="AC408" s="11" t="inlineStr">
        <is>
          <t>55/55 priority point gates pass</t>
        </is>
      </c>
    </row>
    <row r="409" ht="28" customHeight="1">
      <c r="A409" s="12" t="inlineStr">
        <is>
          <t>R7.77</t>
        </is>
      </c>
      <c r="B409" s="13" t="n">
        <v>46259</v>
      </c>
      <c r="C409" s="12" t="inlineStr">
        <is>
          <t>sensitive</t>
        </is>
      </c>
      <c r="D409" s="12" t="inlineStr">
        <is>
          <t>hybrid_priority_readpass</t>
        </is>
      </c>
      <c r="E409" s="12" t="inlineStr">
        <is>
          <t>8 holdouts / fixed 1,000-doc latency sample</t>
        </is>
      </c>
      <c r="F409" s="14" t="inlineStr">
        <is>
          <t>T2</t>
        </is>
      </c>
      <c r="G409" s="15" t="n">
        <v>20000</v>
      </c>
      <c r="H409" s="16" t="n"/>
      <c r="I409" s="16" t="n"/>
      <c r="J409" s="16" t="n"/>
      <c r="K409" s="17">
        <f>IF(OR(L409="",L409=0),"",1000/L409)</f>
        <v/>
      </c>
      <c r="L409" s="18" t="n">
        <v>8.829448299999996</v>
      </c>
      <c r="M409" s="14" t="inlineStr"/>
      <c r="N409" s="19">
        <f>IFERROR(IF(P409&lt;&gt;"",IF(INDEX($P$2:$P$417,MATCH($M409,$A$2:$A$417,0))="","",P409-INDEX($P$2:$P$417,MATCH($M409,$A$2:$A$417,0))),IF(H409&lt;&gt;"",IF(INDEX($H$2:$H$417,MATCH($M409,$A$2:$A$417,0))="","",H409-INDEX($H$2:$H$417,MATCH($M409,$A$2:$A$417,0))),IF(O409&lt;&gt;"",IF(INDEX($O$2:$O$417,MATCH($M409,$A$2:$A$417,0))="","",O409-INDEX($O$2:$O$417,MATCH($M409,$A$2:$A$417,0))),IF(Q409&lt;&gt;"",IF(INDEX($Q$2:$Q$417,MATCH($M409,$A$2:$A$417,0))="","",Q409-INDEX($Q$2:$Q$417,MATCH($M409,$A$2:$A$417,0))),"")))),"")</f>
        <v/>
      </c>
      <c r="O409" s="16" t="n"/>
      <c r="P409" s="16" t="n">
        <v>0.4798440870612645</v>
      </c>
      <c r="Q409" s="16" t="n">
        <v>0.3791294478014162</v>
      </c>
      <c r="R409" s="16" t="n"/>
      <c r="S409" s="16" t="n"/>
      <c r="T409" s="16" t="n"/>
      <c r="U409" s="16" t="n"/>
      <c r="V409" s="16" t="n"/>
      <c r="W409" s="16" t="n"/>
      <c r="X409" s="16" t="n"/>
      <c r="Y409" s="20" t="n"/>
      <c r="Z409" s="20" t="n"/>
      <c r="AA409" s="16" t="n"/>
      <c r="AB409" s="21" t="inlineStr">
        <is>
          <t>Read-pass sweep at 20000 characters</t>
        </is>
      </c>
      <c r="AC409" s="21" t="inlineStr">
        <is>
          <t>55/55 priority point gates pass</t>
        </is>
      </c>
    </row>
    <row r="410" ht="28" customHeight="1">
      <c r="A410" s="2" t="inlineStr">
        <is>
          <t>R7.78</t>
        </is>
      </c>
      <c r="B410" s="3" t="n">
        <v>46259</v>
      </c>
      <c r="C410" s="2" t="inlineStr">
        <is>
          <t>sensitive</t>
        </is>
      </c>
      <c r="D410" s="2" t="inlineStr">
        <is>
          <t>perlabel_v4</t>
        </is>
      </c>
      <c r="E410" s="2" t="inlineStr">
        <is>
          <t>4000_datax-dualjudge-evalset-1.32k</t>
        </is>
      </c>
      <c r="F410" s="4" t="inlineStr">
        <is>
          <t>T1</t>
        </is>
      </c>
      <c r="G410" s="5" t="n">
        <v>1000</v>
      </c>
      <c r="H410" s="6" t="n"/>
      <c r="I410" s="6" t="n"/>
      <c r="J410" s="6" t="n"/>
      <c r="K410" s="7" t="n"/>
      <c r="L410" s="8" t="n"/>
      <c r="M410" s="4" t="inlineStr"/>
      <c r="N410" s="9">
        <f>IFERROR(IF(P410&lt;&gt;"",IF(INDEX($P$2:$P$417,MATCH($M410,$A$2:$A$417,0))="","",P410-INDEX($P$2:$P$417,MATCH($M410,$A$2:$A$417,0))),IF(H410&lt;&gt;"",IF(INDEX($H$2:$H$417,MATCH($M410,$A$2:$A$417,0))="","",H410-INDEX($H$2:$H$417,MATCH($M410,$A$2:$A$417,0))),IF(O410&lt;&gt;"",IF(INDEX($O$2:$O$417,MATCH($M410,$A$2:$A$417,0))="","",O410-INDEX($O$2:$O$417,MATCH($M410,$A$2:$A$417,0))),IF(Q410&lt;&gt;"",IF(INDEX($Q$2:$Q$417,MATCH($M410,$A$2:$A$417,0))="","",Q410-INDEX($Q$2:$Q$417,MATCH($M410,$A$2:$A$417,0))),"")))),"")</f>
        <v/>
      </c>
      <c r="O410" s="6" t="n"/>
      <c r="P410" s="6" t="n"/>
      <c r="Q410" s="6" t="n"/>
      <c r="R410" s="6" t="n"/>
      <c r="S410" s="6" t="n"/>
      <c r="T410" s="6" t="n"/>
      <c r="U410" s="6" t="n"/>
      <c r="V410" s="6" t="n"/>
      <c r="W410" s="6" t="n"/>
      <c r="X410" s="6" t="n"/>
      <c r="Y410" s="10" t="n"/>
      <c r="Z410" s="10" t="n"/>
      <c r="AA410" s="6" t="n"/>
      <c r="AB410" s="11" t="inlineStr">
        <is>
          <t>1,000-trial multi-family search and read-depth sweep</t>
        </is>
      </c>
      <c r="AC410" s="11" t="inlineStr">
        <is>
          <t>Priority and effective-latency gates pass; macro-F2 target misses; package for research/internal use</t>
        </is>
      </c>
    </row>
    <row r="411" ht="28" customHeight="1">
      <c r="A411" s="12" t="inlineStr">
        <is>
          <t>R7.79</t>
        </is>
      </c>
      <c r="B411" s="13" t="n">
        <v>46259</v>
      </c>
      <c r="C411" s="12" t="inlineStr">
        <is>
          <t>sensitive</t>
        </is>
      </c>
      <c r="D411" s="12" t="inlineStr">
        <is>
          <t>perlabel_v4</t>
        </is>
      </c>
      <c r="E411" s="12" t="inlineStr">
        <is>
          <t>6589_govdocs2-dualjudge-eval20-3.53k</t>
        </is>
      </c>
      <c r="F411" s="14" t="inlineStr">
        <is>
          <t>T1</t>
        </is>
      </c>
      <c r="G411" s="15" t="n">
        <v>1000</v>
      </c>
      <c r="H411" s="16" t="n"/>
      <c r="I411" s="16" t="n"/>
      <c r="J411" s="16" t="n"/>
      <c r="K411" s="17" t="n"/>
      <c r="L411" s="18" t="n"/>
      <c r="M411" s="14" t="inlineStr"/>
      <c r="N411" s="19">
        <f>IFERROR(IF(P411&lt;&gt;"",IF(INDEX($P$2:$P$417,MATCH($M411,$A$2:$A$417,0))="","",P411-INDEX($P$2:$P$417,MATCH($M411,$A$2:$A$417,0))),IF(H411&lt;&gt;"",IF(INDEX($H$2:$H$417,MATCH($M411,$A$2:$A$417,0))="","",H411-INDEX($H$2:$H$417,MATCH($M411,$A$2:$A$417,0))),IF(O411&lt;&gt;"",IF(INDEX($O$2:$O$417,MATCH($M411,$A$2:$A$417,0))="","",O411-INDEX($O$2:$O$417,MATCH($M411,$A$2:$A$417,0))),IF(Q411&lt;&gt;"",IF(INDEX($Q$2:$Q$417,MATCH($M411,$A$2:$A$417,0))="","",Q411-INDEX($Q$2:$Q$417,MATCH($M411,$A$2:$A$417,0))),"")))),"")</f>
        <v/>
      </c>
      <c r="O411" s="16" t="n"/>
      <c r="P411" s="16" t="n"/>
      <c r="Q411" s="16" t="n"/>
      <c r="R411" s="16" t="n"/>
      <c r="S411" s="16" t="n"/>
      <c r="T411" s="16" t="n"/>
      <c r="U411" s="16" t="n"/>
      <c r="V411" s="16" t="n"/>
      <c r="W411" s="16" t="n"/>
      <c r="X411" s="16" t="n"/>
      <c r="Y411" s="20" t="n"/>
      <c r="Z411" s="20" t="n"/>
      <c r="AA411" s="16" t="n"/>
      <c r="AB411" s="21" t="inlineStr">
        <is>
          <t>1,000-trial multi-family search and read-depth sweep</t>
        </is>
      </c>
      <c r="AC411" s="21" t="inlineStr">
        <is>
          <t>Priority and effective-latency gates pass; macro-F2 target misses; package for research/internal use</t>
        </is>
      </c>
    </row>
    <row r="412" ht="28" customHeight="1">
      <c r="A412" s="2" t="inlineStr">
        <is>
          <t>R7.80</t>
        </is>
      </c>
      <c r="B412" s="3" t="n">
        <v>46259</v>
      </c>
      <c r="C412" s="2" t="inlineStr">
        <is>
          <t>sensitive</t>
        </is>
      </c>
      <c r="D412" s="2" t="inlineStr">
        <is>
          <t>perlabel_v4</t>
        </is>
      </c>
      <c r="E412" s="2" t="inlineStr">
        <is>
          <t>ai4privacy_pii_masking_eval_10k</t>
        </is>
      </c>
      <c r="F412" s="4" t="inlineStr">
        <is>
          <t>T1</t>
        </is>
      </c>
      <c r="G412" s="5" t="n">
        <v>1000</v>
      </c>
      <c r="H412" s="6" t="n"/>
      <c r="I412" s="6" t="n"/>
      <c r="J412" s="6" t="n"/>
      <c r="K412" s="7" t="n"/>
      <c r="L412" s="8" t="n"/>
      <c r="M412" s="4" t="inlineStr"/>
      <c r="N412" s="9">
        <f>IFERROR(IF(P412&lt;&gt;"",IF(INDEX($P$2:$P$417,MATCH($M412,$A$2:$A$417,0))="","",P412-INDEX($P$2:$P$417,MATCH($M412,$A$2:$A$417,0))),IF(H412&lt;&gt;"",IF(INDEX($H$2:$H$417,MATCH($M412,$A$2:$A$417,0))="","",H412-INDEX($H$2:$H$417,MATCH($M412,$A$2:$A$417,0))),IF(O412&lt;&gt;"",IF(INDEX($O$2:$O$417,MATCH($M412,$A$2:$A$417,0))="","",O412-INDEX($O$2:$O$417,MATCH($M412,$A$2:$A$417,0))),IF(Q412&lt;&gt;"",IF(INDEX($Q$2:$Q$417,MATCH($M412,$A$2:$A$417,0))="","",Q412-INDEX($Q$2:$Q$417,MATCH($M412,$A$2:$A$417,0))),"")))),"")</f>
        <v/>
      </c>
      <c r="O412" s="6" t="n"/>
      <c r="P412" s="6" t="n">
        <v>0.5229377447284033</v>
      </c>
      <c r="Q412" s="6" t="n">
        <v>0.4036307769951832</v>
      </c>
      <c r="R412" s="6" t="n"/>
      <c r="S412" s="6" t="n"/>
      <c r="T412" s="6" t="n"/>
      <c r="U412" s="6" t="n"/>
      <c r="V412" s="6" t="n"/>
      <c r="W412" s="6" t="n"/>
      <c r="X412" s="6" t="n"/>
      <c r="Y412" s="10" t="n"/>
      <c r="Z412" s="10" t="n"/>
      <c r="AA412" s="6" t="n"/>
      <c r="AB412" s="11" t="inlineStr">
        <is>
          <t>1,000-trial multi-family search and read-depth sweep</t>
        </is>
      </c>
      <c r="AC412" s="11" t="inlineStr">
        <is>
          <t>collapsed-taxonomy diagnostic: macro F2 0.5378 (+0.0148)</t>
        </is>
      </c>
    </row>
    <row r="413" ht="28" customHeight="1">
      <c r="A413" s="12" t="inlineStr">
        <is>
          <t>R7.81</t>
        </is>
      </c>
      <c r="B413" s="13" t="n">
        <v>46259</v>
      </c>
      <c r="C413" s="12" t="inlineStr">
        <is>
          <t>sensitive</t>
        </is>
      </c>
      <c r="D413" s="12" t="inlineStr">
        <is>
          <t>perlabel_v4</t>
        </is>
      </c>
      <c r="E413" s="12" t="inlineStr">
        <is>
          <t>betterdataai_ner_silver_eval_10k</t>
        </is>
      </c>
      <c r="F413" s="14" t="inlineStr">
        <is>
          <t>T1</t>
        </is>
      </c>
      <c r="G413" s="15" t="n">
        <v>1000</v>
      </c>
      <c r="H413" s="16" t="n"/>
      <c r="I413" s="16" t="n"/>
      <c r="J413" s="16" t="n"/>
      <c r="K413" s="17" t="n"/>
      <c r="L413" s="18" t="n"/>
      <c r="M413" s="14" t="inlineStr"/>
      <c r="N413" s="19">
        <f>IFERROR(IF(P413&lt;&gt;"",IF(INDEX($P$2:$P$417,MATCH($M413,$A$2:$A$417,0))="","",P413-INDEX($P$2:$P$417,MATCH($M413,$A$2:$A$417,0))),IF(H413&lt;&gt;"",IF(INDEX($H$2:$H$417,MATCH($M413,$A$2:$A$417,0))="","",H413-INDEX($H$2:$H$417,MATCH($M413,$A$2:$A$417,0))),IF(O413&lt;&gt;"",IF(INDEX($O$2:$O$417,MATCH($M413,$A$2:$A$417,0))="","",O413-INDEX($O$2:$O$417,MATCH($M413,$A$2:$A$417,0))),IF(Q413&lt;&gt;"",IF(INDEX($Q$2:$Q$417,MATCH($M413,$A$2:$A$417,0))="","",Q413-INDEX($Q$2:$Q$417,MATCH($M413,$A$2:$A$417,0))),"")))),"")</f>
        <v/>
      </c>
      <c r="O413" s="16" t="n"/>
      <c r="P413" s="16" t="n">
        <v>0.2318096354094719</v>
      </c>
      <c r="Q413" s="16" t="n">
        <v>0.2681843944832798</v>
      </c>
      <c r="R413" s="16" t="n"/>
      <c r="S413" s="16" t="n"/>
      <c r="T413" s="16" t="n"/>
      <c r="U413" s="16" t="n"/>
      <c r="V413" s="16" t="n"/>
      <c r="W413" s="16" t="n"/>
      <c r="X413" s="16" t="n"/>
      <c r="Y413" s="20" t="n"/>
      <c r="Z413" s="20" t="n"/>
      <c r="AA413" s="16" t="n"/>
      <c r="AB413" s="21" t="inlineStr">
        <is>
          <t>1,000-trial multi-family search and read-depth sweep</t>
        </is>
      </c>
      <c r="AC413" s="21" t="inlineStr">
        <is>
          <t>collapsed-taxonomy diagnostic: macro F2 0.2454 (+0.0136)</t>
        </is>
      </c>
    </row>
    <row r="414" ht="28" customHeight="1">
      <c r="A414" s="2" t="inlineStr">
        <is>
          <t>R7.82</t>
        </is>
      </c>
      <c r="B414" s="3" t="n">
        <v>46259</v>
      </c>
      <c r="C414" s="2" t="inlineStr">
        <is>
          <t>sensitive</t>
        </is>
      </c>
      <c r="D414" s="2" t="inlineStr">
        <is>
          <t>perlabel_v4</t>
        </is>
      </c>
      <c r="E414" s="2" t="inlineStr">
        <is>
          <t>nemotron_eval_6k</t>
        </is>
      </c>
      <c r="F414" s="4" t="inlineStr">
        <is>
          <t>T1</t>
        </is>
      </c>
      <c r="G414" s="5" t="n">
        <v>1000</v>
      </c>
      <c r="H414" s="6" t="n"/>
      <c r="I414" s="6" t="n"/>
      <c r="J414" s="6" t="n"/>
      <c r="K414" s="7" t="n"/>
      <c r="L414" s="8" t="n"/>
      <c r="M414" s="4" t="inlineStr"/>
      <c r="N414" s="9">
        <f>IFERROR(IF(P414&lt;&gt;"",IF(INDEX($P$2:$P$417,MATCH($M414,$A$2:$A$417,0))="","",P414-INDEX($P$2:$P$417,MATCH($M414,$A$2:$A$417,0))),IF(H414&lt;&gt;"",IF(INDEX($H$2:$H$417,MATCH($M414,$A$2:$A$417,0))="","",H414-INDEX($H$2:$H$417,MATCH($M414,$A$2:$A$417,0))),IF(O414&lt;&gt;"",IF(INDEX($O$2:$O$417,MATCH($M414,$A$2:$A$417,0))="","",O414-INDEX($O$2:$O$417,MATCH($M414,$A$2:$A$417,0))),IF(Q414&lt;&gt;"",IF(INDEX($Q$2:$Q$417,MATCH($M414,$A$2:$A$417,0))="","",Q414-INDEX($Q$2:$Q$417,MATCH($M414,$A$2:$A$417,0))),"")))),"")</f>
        <v/>
      </c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  <c r="X414" s="6" t="n"/>
      <c r="Y414" s="10" t="n"/>
      <c r="Z414" s="10" t="n"/>
      <c r="AA414" s="6" t="n"/>
      <c r="AB414" s="11" t="inlineStr">
        <is>
          <t>1,000-trial multi-family search and read-depth sweep</t>
        </is>
      </c>
      <c r="AC414" s="11" t="inlineStr">
        <is>
          <t>Priority and effective-latency gates pass; macro-F2 target misses; package for research/internal use</t>
        </is>
      </c>
    </row>
    <row r="415" ht="28" customHeight="1">
      <c r="A415" s="12" t="inlineStr">
        <is>
          <t>R7.83</t>
        </is>
      </c>
      <c r="B415" s="13" t="n">
        <v>46259</v>
      </c>
      <c r="C415" s="12" t="inlineStr">
        <is>
          <t>sensitive</t>
        </is>
      </c>
      <c r="D415" s="12" t="inlineStr">
        <is>
          <t>perlabel_v4</t>
        </is>
      </c>
      <c r="E415" s="12" t="inlineStr">
        <is>
          <t>openpii_pii_eval_38k</t>
        </is>
      </c>
      <c r="F415" s="14" t="inlineStr">
        <is>
          <t>T1</t>
        </is>
      </c>
      <c r="G415" s="15" t="n">
        <v>1000</v>
      </c>
      <c r="H415" s="16" t="n"/>
      <c r="I415" s="16" t="n"/>
      <c r="J415" s="16" t="n"/>
      <c r="K415" s="17" t="n"/>
      <c r="L415" s="18" t="n"/>
      <c r="M415" s="14" t="inlineStr"/>
      <c r="N415" s="19">
        <f>IFERROR(IF(P415&lt;&gt;"",IF(INDEX($P$2:$P$417,MATCH($M415,$A$2:$A$417,0))="","",P415-INDEX($P$2:$P$417,MATCH($M415,$A$2:$A$417,0))),IF(H415&lt;&gt;"",IF(INDEX($H$2:$H$417,MATCH($M415,$A$2:$A$417,0))="","",H415-INDEX($H$2:$H$417,MATCH($M415,$A$2:$A$417,0))),IF(O415&lt;&gt;"",IF(INDEX($O$2:$O$417,MATCH($M415,$A$2:$A$417,0))="","",O415-INDEX($O$2:$O$417,MATCH($M415,$A$2:$A$417,0))),IF(Q415&lt;&gt;"",IF(INDEX($Q$2:$Q$417,MATCH($M415,$A$2:$A$417,0))="","",Q415-INDEX($Q$2:$Q$417,MATCH($M415,$A$2:$A$417,0))),"")))),"")</f>
        <v/>
      </c>
      <c r="O415" s="16" t="n"/>
      <c r="P415" s="16" t="n">
        <v>0.6394953236006559</v>
      </c>
      <c r="Q415" s="16" t="n">
        <v>0.6891550535974732</v>
      </c>
      <c r="R415" s="16" t="n"/>
      <c r="S415" s="16" t="n"/>
      <c r="T415" s="16" t="n"/>
      <c r="U415" s="16" t="n"/>
      <c r="V415" s="16" t="n"/>
      <c r="W415" s="16" t="n"/>
      <c r="X415" s="16" t="n"/>
      <c r="Y415" s="20" t="n"/>
      <c r="Z415" s="20" t="n"/>
      <c r="AA415" s="16" t="n"/>
      <c r="AB415" s="21" t="inlineStr">
        <is>
          <t>1,000-trial multi-family search and read-depth sweep</t>
        </is>
      </c>
      <c r="AC415" s="21" t="inlineStr">
        <is>
          <t>collapsed-taxonomy diagnostic: macro F2 0.6053 (-0.0342)</t>
        </is>
      </c>
    </row>
    <row r="416" ht="28" customHeight="1">
      <c r="A416" s="2" t="inlineStr">
        <is>
          <t>R7.84</t>
        </is>
      </c>
      <c r="B416" s="3" t="n">
        <v>46259</v>
      </c>
      <c r="C416" s="2" t="inlineStr">
        <is>
          <t>sensitive</t>
        </is>
      </c>
      <c r="D416" s="2" t="inlineStr">
        <is>
          <t>perlabel_v4</t>
        </is>
      </c>
      <c r="E416" s="2" t="inlineStr">
        <is>
          <t>pii2_eval_30k</t>
        </is>
      </c>
      <c r="F416" s="4" t="inlineStr">
        <is>
          <t>T1</t>
        </is>
      </c>
      <c r="G416" s="5" t="n">
        <v>1000</v>
      </c>
      <c r="H416" s="6" t="n"/>
      <c r="I416" s="6" t="n"/>
      <c r="J416" s="6" t="n"/>
      <c r="K416" s="7" t="n"/>
      <c r="L416" s="8" t="n"/>
      <c r="M416" s="4" t="inlineStr"/>
      <c r="N416" s="9">
        <f>IFERROR(IF(P416&lt;&gt;"",IF(INDEX($P$2:$P$417,MATCH($M416,$A$2:$A$417,0))="","",P416-INDEX($P$2:$P$417,MATCH($M416,$A$2:$A$417,0))),IF(H416&lt;&gt;"",IF(INDEX($H$2:$H$417,MATCH($M416,$A$2:$A$417,0))="","",H416-INDEX($H$2:$H$417,MATCH($M416,$A$2:$A$417,0))),IF(O416&lt;&gt;"",IF(INDEX($O$2:$O$417,MATCH($M416,$A$2:$A$417,0))="","",O416-INDEX($O$2:$O$417,MATCH($M416,$A$2:$A$417,0))),IF(Q416&lt;&gt;"",IF(INDEX($Q$2:$Q$417,MATCH($M416,$A$2:$A$417,0))="","",Q416-INDEX($Q$2:$Q$417,MATCH($M416,$A$2:$A$417,0))),"")))),"")</f>
        <v/>
      </c>
      <c r="O416" s="6" t="n"/>
      <c r="P416" s="6" t="n">
        <v>0.4980237712072972</v>
      </c>
      <c r="Q416" s="6" t="n">
        <v>0.2489928942830843</v>
      </c>
      <c r="R416" s="6" t="n"/>
      <c r="S416" s="6" t="n"/>
      <c r="T416" s="6" t="n"/>
      <c r="U416" s="6" t="n"/>
      <c r="V416" s="6" t="n"/>
      <c r="W416" s="6" t="n"/>
      <c r="X416" s="6" t="n"/>
      <c r="Y416" s="10" t="n"/>
      <c r="Z416" s="10" t="n"/>
      <c r="AA416" s="6" t="n"/>
      <c r="AB416" s="11" t="inlineStr">
        <is>
          <t>1,000-trial multi-family search and read-depth sweep</t>
        </is>
      </c>
      <c r="AC416" s="11" t="inlineStr">
        <is>
          <t>collapsed-taxonomy diagnostic: macro F2 0.4829 (-0.0151)</t>
        </is>
      </c>
    </row>
    <row r="417" ht="28" customHeight="1">
      <c r="A417" s="12" t="inlineStr">
        <is>
          <t>R7.85</t>
        </is>
      </c>
      <c r="B417" s="13" t="n">
        <v>46259</v>
      </c>
      <c r="C417" s="12" t="inlineStr">
        <is>
          <t>sensitive</t>
        </is>
      </c>
      <c r="D417" s="12" t="inlineStr">
        <is>
          <t>perlabel_v4</t>
        </is>
      </c>
      <c r="E417" s="12" t="inlineStr">
        <is>
          <t>pii_holdout_20k</t>
        </is>
      </c>
      <c r="F417" s="14" t="inlineStr">
        <is>
          <t>T1</t>
        </is>
      </c>
      <c r="G417" s="15" t="n">
        <v>1000</v>
      </c>
      <c r="H417" s="16" t="n"/>
      <c r="I417" s="16" t="n"/>
      <c r="J417" s="16" t="n"/>
      <c r="K417" s="17" t="n"/>
      <c r="L417" s="18" t="n"/>
      <c r="M417" s="14" t="inlineStr"/>
      <c r="N417" s="19">
        <f>IFERROR(IF(P417&lt;&gt;"",IF(INDEX($P$2:$P$417,MATCH($M417,$A$2:$A$417,0))="","",P417-INDEX($P$2:$P$417,MATCH($M417,$A$2:$A$417,0))),IF(H417&lt;&gt;"",IF(INDEX($H$2:$H$417,MATCH($M417,$A$2:$A$417,0))="","",H417-INDEX($H$2:$H$417,MATCH($M417,$A$2:$A$417,0))),IF(O417&lt;&gt;"",IF(INDEX($O$2:$O$417,MATCH($M417,$A$2:$A$417,0))="","",O417-INDEX($O$2:$O$417,MATCH($M417,$A$2:$A$417,0))),IF(Q417&lt;&gt;"",IF(INDEX($Q$2:$Q$417,MATCH($M417,$A$2:$A$417,0))="","",Q417-INDEX($Q$2:$Q$417,MATCH($M417,$A$2:$A$417,0))),"")))),"")</f>
        <v/>
      </c>
      <c r="O417" s="16" t="n"/>
      <c r="P417" s="16" t="n">
        <v>0.573599297016263</v>
      </c>
      <c r="Q417" s="16" t="n">
        <v>0.514589678199742</v>
      </c>
      <c r="R417" s="16" t="n"/>
      <c r="S417" s="16" t="n"/>
      <c r="T417" s="16" t="n"/>
      <c r="U417" s="16" t="n"/>
      <c r="V417" s="16" t="n"/>
      <c r="W417" s="16" t="n"/>
      <c r="X417" s="16" t="n"/>
      <c r="Y417" s="20" t="n"/>
      <c r="Z417" s="20" t="n"/>
      <c r="AA417" s="16" t="n"/>
      <c r="AB417" s="21" t="inlineStr">
        <is>
          <t>1,000-trial multi-family search and read-depth sweep</t>
        </is>
      </c>
      <c r="AC417" s="21" t="inlineStr">
        <is>
          <t>collapsed-taxonomy diagnostic: macro F2 0.5559 (-0.0177)</t>
        </is>
      </c>
    </row>
  </sheetData>
  <autoFilter ref="A1:AC417"/>
  <conditionalFormatting sqref="N2:N417">
    <cfRule type="colorScale" priority="1">
      <colorScale>
        <cfvo type="min"/>
        <cfvo type="num" val="0"/>
        <cfvo type="max"/>
        <color rgb="00F8696B"/>
        <color rgb="00FFFFFF"/>
        <color rgb="0063BE7B"/>
      </colorScale>
    </cfRule>
  </conditionalFormatting>
  <dataValidations count="4">
    <dataValidation sqref="C2:C417" showDropDown="0" showInputMessage="0" showErrorMessage="0" allowBlank="1" type="list">
      <formula1>'Reference'!$A$2:$A$2</formula1>
    </dataValidation>
    <dataValidation sqref="D2:D417" showDropDown="0" showInputMessage="0" showErrorMessage="0" allowBlank="1" type="list">
      <formula1>'Reference'!$B$2:$B$136</formula1>
    </dataValidation>
    <dataValidation sqref="E2:E417" showDropDown="0" showInputMessage="0" showErrorMessage="0" allowBlank="1" type="list">
      <formula1>'Reference'!$C$2:$C$18</formula1>
    </dataValidation>
    <dataValidation sqref="F2:F417" showDropDown="0" showInputMessage="0" showErrorMessage="0" allowBlank="1" type="list">
      <formula1>"T1,T2,T3,n/a"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76"/>
  <sheetViews>
    <sheetView workbookViewId="0">
      <pane ySplit="30" topLeftCell="A31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30" customWidth="1" min="3" max="3"/>
    <col width="26" customWidth="1" min="4" max="4"/>
    <col width="7" customWidth="1" min="5" max="5"/>
    <col width="9" customWidth="1" min="6" max="6"/>
    <col width="24" customWidth="1" min="7" max="7"/>
    <col width="12" customWidth="1" min="8" max="8"/>
    <col width="12" customWidth="1" min="9" max="9"/>
    <col width="12" customWidth="1" min="10" max="10"/>
    <col width="11" customWidth="1" min="11" max="11"/>
    <col width="11" customWidth="1" min="12" max="12"/>
    <col width="15" customWidth="1" min="13" max="13"/>
    <col width="9" customWidth="1" min="14" max="14"/>
    <col width="40" customWidth="1" min="15" max="15"/>
  </cols>
  <sheetData>
    <row r="1">
      <c r="A1" s="22" t="inlineStr">
        <is>
          <t>Run Results — R7 · 2026-08-25</t>
        </is>
      </c>
    </row>
    <row r="3">
      <c r="A3" s="23" t="inlineStr">
        <is>
          <t>Task type</t>
        </is>
      </c>
      <c r="B3" s="24" t="inlineStr">
        <is>
          <t>tagging</t>
        </is>
      </c>
    </row>
    <row r="4">
      <c r="A4" s="23" t="inlineStr">
        <is>
          <t>Arms (model × dataset)</t>
        </is>
      </c>
      <c r="B4" s="24" t="n">
        <v>85</v>
      </c>
    </row>
    <row r="5">
      <c r="A5" s="23" t="inlineStr">
        <is>
          <t>Models</t>
        </is>
      </c>
      <c r="B5" s="24" t="inlineStr">
        <is>
          <t>current_rules, hash_sgd, hash_sgd_f2, hybrid_priority_001, tfidf_linear, embeddingbag_asl, hybrid_priority, champion_1k, champion_1k_bootstrap, hash_sgd_readpass, hybrid_priority_001_readpass, hybrid_priority_readpass, perlabel_v4</t>
        </is>
      </c>
    </row>
    <row r="6">
      <c r="A6" s="23" t="inlineStr">
        <is>
          <t>Datasets</t>
        </is>
      </c>
      <c r="B6" s="24" t="inlineStr">
        <is>
          <t>4000_datax-dualjudge-evalset-1.32k, 6589_govdocs2-dualjudge-eval20-3.53k, ai4privacy_pii_masking_eval_10k, betterdataai_ner_silver_eval_10k, nemotron_eval_6k, openpii_pii_eval_38k, pii2_eval_30k, pii_holdout_20k, 8 holdouts (5 complete for F2), 8 holdouts / fixed 1,000-doc latency sample</t>
        </is>
      </c>
    </row>
    <row r="7">
      <c r="A7" s="23" t="inlineStr">
        <is>
          <t>MLflow run id</t>
        </is>
      </c>
      <c r="B7" s="24" t="inlineStr">
        <is>
          <t>00c00641e3864afc86cbc4476ea8cf8c</t>
        </is>
      </c>
    </row>
    <row r="8">
      <c r="A8" s="23" t="inlineStr">
        <is>
          <t>Model URI</t>
        </is>
      </c>
      <c r="B8" s="24" t="inlineStr">
        <is>
          <t>projects/pii-priority-recall-v1/models/champion_1k</t>
        </is>
      </c>
    </row>
    <row r="9">
      <c r="A9" s="23" t="inlineStr">
        <is>
          <t>Run report (.md)</t>
        </is>
      </c>
      <c r="B9" s="24" t="inlineStr">
        <is>
          <t>reports/26-08-25_priority-recall-1000-run.md</t>
        </is>
      </c>
    </row>
    <row r="10">
      <c r="A10" s="23" t="inlineStr">
        <is>
          <t>bootstrap</t>
        </is>
      </c>
      <c r="B10" s="24" t="inlineStr">
        <is>
          <t>evaluations/champion_1k/bootstrap/summary.json</t>
        </is>
      </c>
    </row>
    <row r="11">
      <c r="A11" s="23" t="inlineStr">
        <is>
          <t>collapsed_taxonomy::champion_1k</t>
        </is>
      </c>
      <c r="B11" s="24" t="inlineStr">
        <is>
          <t>evaluations/champion_1k/collapsed/summary.json</t>
        </is>
      </c>
    </row>
    <row r="12">
      <c r="A12" s="23" t="inlineStr">
        <is>
          <t>collapsed_taxonomy::current_rules</t>
        </is>
      </c>
      <c r="B12" s="24" t="inlineStr">
        <is>
          <t>evaluations/current_rules/collapsed/summary.json</t>
        </is>
      </c>
    </row>
    <row r="13">
      <c r="A13" s="23" t="inlineStr">
        <is>
          <t>collapsed_taxonomy::embeddingbag_asl</t>
        </is>
      </c>
      <c r="B13" s="24" t="inlineStr">
        <is>
          <t>evaluations/embeddingbag_asl/collapsed/summary.json</t>
        </is>
      </c>
    </row>
    <row r="14">
      <c r="A14" s="23" t="inlineStr">
        <is>
          <t>collapsed_taxonomy::hash_sgd</t>
        </is>
      </c>
      <c r="B14" s="24" t="inlineStr">
        <is>
          <t>evaluations/hash_sgd/collapsed/summary.json</t>
        </is>
      </c>
    </row>
    <row r="15">
      <c r="A15" s="23" t="inlineStr">
        <is>
          <t>collapsed_taxonomy::hash_sgd_f2</t>
        </is>
      </c>
      <c r="B15" s="24" t="inlineStr">
        <is>
          <t>evaluations/hash_sgd_f2/collapsed/summary.json</t>
        </is>
      </c>
    </row>
    <row r="16">
      <c r="A16" s="23" t="inlineStr">
        <is>
          <t>collapsed_taxonomy::hybrid_priority</t>
        </is>
      </c>
      <c r="B16" s="24" t="inlineStr">
        <is>
          <t>evaluations/hybrid_priority/collapsed/summary.json</t>
        </is>
      </c>
    </row>
    <row r="17">
      <c r="A17" s="23" t="inlineStr">
        <is>
          <t>collapsed_taxonomy::hybrid_priority_001</t>
        </is>
      </c>
      <c r="B17" s="24" t="inlineStr">
        <is>
          <t>evaluations/hybrid_priority_001/collapsed/summary.json</t>
        </is>
      </c>
    </row>
    <row r="18">
      <c r="A18" s="23" t="inlineStr">
        <is>
          <t>collapsed_taxonomy::perlabel_1k</t>
        </is>
      </c>
      <c r="B18" s="24" t="inlineStr">
        <is>
          <t>evaluations/perlabel_1k/collapsed/summary.json</t>
        </is>
      </c>
    </row>
    <row r="19">
      <c r="A19" s="23" t="inlineStr">
        <is>
          <t>collapsed_taxonomy::perlabel_v2</t>
        </is>
      </c>
      <c r="B19" s="24" t="inlineStr">
        <is>
          <t>evaluations/perlabel_v2/collapsed/summary.json</t>
        </is>
      </c>
    </row>
    <row r="20">
      <c r="A20" s="23" t="inlineStr">
        <is>
          <t>collapsed_taxonomy::perlabel_v3</t>
        </is>
      </c>
      <c r="B20" s="24" t="inlineStr">
        <is>
          <t>evaluations/perlabel_v3/collapsed/summary.json</t>
        </is>
      </c>
    </row>
    <row r="21">
      <c r="A21" s="23" t="inlineStr">
        <is>
          <t>collapsed_taxonomy::perlabel_v4</t>
        </is>
      </c>
      <c r="B21" s="24" t="inlineStr">
        <is>
          <t>evaluations/perlabel_v4/collapsed/summary.json</t>
        </is>
      </c>
    </row>
    <row r="22">
      <c r="A22" s="23" t="inlineStr">
        <is>
          <t>collapsed_taxonomy::tfidf_linear</t>
        </is>
      </c>
      <c r="B22" s="24" t="inlineStr">
        <is>
          <t>evaluations/tfidf_linear/collapsed/summary.json</t>
        </is>
      </c>
    </row>
    <row r="23">
      <c r="A23" s="23" t="inlineStr">
        <is>
          <t>final_bootstrap::perlabel_v3</t>
        </is>
      </c>
      <c r="B23" s="24" t="inlineStr">
        <is>
          <t>evaluations/perlabel_v3/bootstrap/summary.json</t>
        </is>
      </c>
    </row>
    <row r="24">
      <c r="A24" s="23" t="inlineStr">
        <is>
          <t>final_bootstrap::perlabel_v4</t>
        </is>
      </c>
      <c r="B24" s="24" t="inlineStr">
        <is>
          <t>evaluations/perlabel_v4/bootstrap/summary.json</t>
        </is>
      </c>
    </row>
    <row r="25">
      <c r="A25" s="23" t="inlineStr">
        <is>
          <t>model_bundle</t>
        </is>
      </c>
      <c r="B25" s="24" t="inlineStr">
        <is>
          <t>dist/pii-priority-fusion-1k-v1.zip</t>
        </is>
      </c>
    </row>
    <row r="26">
      <c r="A26" s="23" t="inlineStr">
        <is>
          <t>package_manifest</t>
        </is>
      </c>
      <c r="B26" s="24" t="inlineStr">
        <is>
          <t>dist/package.json</t>
        </is>
      </c>
    </row>
    <row r="27">
      <c r="A27" s="23" t="inlineStr">
        <is>
          <t>package_verification</t>
        </is>
      </c>
      <c r="B27" s="24" t="inlineStr">
        <is>
          <t>dist/bundle_verification.json</t>
        </is>
      </c>
    </row>
    <row r="28">
      <c r="A28" s="23" t="inlineStr">
        <is>
          <t>read_depth_benchmark</t>
        </is>
      </c>
      <c r="B28" s="24" t="inlineStr">
        <is>
          <t>benchmarks/read_depth.json</t>
        </is>
      </c>
    </row>
    <row r="30" ht="30" customHeight="1">
      <c r="A30" s="1" t="inlineStr">
        <is>
          <t>Run ID</t>
        </is>
      </c>
      <c r="B30" s="1" t="inlineStr">
        <is>
          <t>Track</t>
        </is>
      </c>
      <c r="C30" s="1" t="inlineStr">
        <is>
          <t>Model</t>
        </is>
      </c>
      <c r="D30" s="1" t="inlineStr">
        <is>
          <t>Dataset</t>
        </is>
      </c>
      <c r="E30" s="1" t="inlineStr">
        <is>
          <t>Tier</t>
        </is>
      </c>
      <c r="F30" s="1" t="inlineStr">
        <is>
          <t>N</t>
        </is>
      </c>
      <c r="G30" s="1" t="inlineStr">
        <is>
          <t>Metric</t>
        </is>
      </c>
      <c r="H30" s="1" t="inlineStr">
        <is>
          <t>Value</t>
        </is>
      </c>
      <c r="I30" s="1" t="inlineStr">
        <is>
          <t>CI low</t>
        </is>
      </c>
      <c r="J30" s="1" t="inlineStr">
        <is>
          <t>CI high</t>
        </is>
      </c>
      <c r="K30" s="1" t="inlineStr">
        <is>
          <t>Confidence</t>
        </is>
      </c>
      <c r="L30" s="1" t="inlineStr">
        <is>
          <t>Bootstraps</t>
        </is>
      </c>
      <c r="M30" s="1" t="inlineStr">
        <is>
          <t>Higher is better</t>
        </is>
      </c>
      <c r="N30" s="1" t="inlineStr">
        <is>
          <t>Primary</t>
        </is>
      </c>
      <c r="O30" s="1" t="inlineStr">
        <is>
          <t>Params</t>
        </is>
      </c>
    </row>
    <row r="31">
      <c r="A31" t="inlineStr">
        <is>
          <t>R7.1</t>
        </is>
      </c>
      <c r="B31" t="inlineStr">
        <is>
          <t>sensitive</t>
        </is>
      </c>
      <c r="C31" s="24" t="inlineStr">
        <is>
          <t>current_rules</t>
        </is>
      </c>
      <c r="D31" s="24" t="inlineStr">
        <is>
          <t>4000_datax-dualjudge-evalset-1.32k</t>
        </is>
      </c>
      <c r="E31" t="inlineStr">
        <is>
          <t>T1</t>
        </is>
      </c>
      <c r="F31" s="25" t="n"/>
      <c r="G31" t="inlineStr">
        <is>
          <t>docs_per_s</t>
        </is>
      </c>
      <c r="H31" s="26" t="n">
        <v>6368.875407719347</v>
      </c>
      <c r="I31" s="26" t="n"/>
      <c r="J31" s="26" t="n"/>
      <c r="M31" t="inlineStr"/>
      <c r="N31" t="inlineStr"/>
      <c r="O31" s="24" t="inlineStr"/>
    </row>
    <row r="32">
      <c r="A32" t="inlineStr">
        <is>
          <t>R7.1</t>
        </is>
      </c>
      <c r="B32" t="inlineStr">
        <is>
          <t>sensitive</t>
        </is>
      </c>
      <c r="C32" s="24" t="inlineStr">
        <is>
          <t>current_rules</t>
        </is>
      </c>
      <c r="D32" s="24" t="inlineStr">
        <is>
          <t>4000_datax-dualjudge-evalset-1.32k</t>
        </is>
      </c>
      <c r="E32" t="inlineStr">
        <is>
          <t>T1</t>
        </is>
      </c>
      <c r="F32" s="25" t="n"/>
      <c r="G32" t="inlineStr">
        <is>
          <t>macro_f2</t>
        </is>
      </c>
      <c r="H32" s="26" t="n"/>
      <c r="I32" s="26" t="n"/>
      <c r="J32" s="26" t="n"/>
      <c r="M32" t="inlineStr"/>
      <c r="N32" t="inlineStr"/>
      <c r="O32" s="24" t="inlineStr"/>
    </row>
    <row r="33">
      <c r="A33" t="inlineStr">
        <is>
          <t>R7.1</t>
        </is>
      </c>
      <c r="B33" t="inlineStr">
        <is>
          <t>sensitive</t>
        </is>
      </c>
      <c r="C33" s="24" t="inlineStr">
        <is>
          <t>current_rules</t>
        </is>
      </c>
      <c r="D33" s="24" t="inlineStr">
        <is>
          <t>4000_datax-dualjudge-evalset-1.32k</t>
        </is>
      </c>
      <c r="E33" t="inlineStr">
        <is>
          <t>T1</t>
        </is>
      </c>
      <c r="F33" s="25" t="n"/>
      <c r="G33" t="inlineStr">
        <is>
          <t>micro_f1</t>
        </is>
      </c>
      <c r="H33" s="26" t="n"/>
      <c r="I33" s="26" t="n"/>
      <c r="J33" s="26" t="n"/>
      <c r="M33" t="inlineStr"/>
      <c r="N33" t="inlineStr"/>
      <c r="O33" s="24" t="inlineStr"/>
    </row>
    <row r="34">
      <c r="A34" t="inlineStr">
        <is>
          <t>R7.1</t>
        </is>
      </c>
      <c r="B34" t="inlineStr">
        <is>
          <t>sensitive</t>
        </is>
      </c>
      <c r="C34" s="24" t="inlineStr">
        <is>
          <t>current_rules</t>
        </is>
      </c>
      <c r="D34" s="24" t="inlineStr">
        <is>
          <t>4000_datax-dualjudge-evalset-1.32k</t>
        </is>
      </c>
      <c r="E34" t="inlineStr">
        <is>
          <t>T1</t>
        </is>
      </c>
      <c r="F34" s="25" t="n"/>
      <c r="G34" t="inlineStr">
        <is>
          <t>priority_measurable</t>
        </is>
      </c>
      <c r="H34" s="26" t="n">
        <v>1</v>
      </c>
      <c r="I34" s="26" t="n"/>
      <c r="J34" s="26" t="n"/>
      <c r="M34" t="inlineStr"/>
      <c r="N34" t="inlineStr"/>
      <c r="O34" s="24" t="inlineStr"/>
    </row>
    <row r="35">
      <c r="A35" t="inlineStr">
        <is>
          <t>R7.1</t>
        </is>
      </c>
      <c r="B35" t="inlineStr">
        <is>
          <t>sensitive</t>
        </is>
      </c>
      <c r="C35" s="24" t="inlineStr">
        <is>
          <t>current_rules</t>
        </is>
      </c>
      <c r="D35" s="24" t="inlineStr">
        <is>
          <t>4000_datax-dualjudge-evalset-1.32k</t>
        </is>
      </c>
      <c r="E35" t="inlineStr">
        <is>
          <t>T1</t>
        </is>
      </c>
      <c r="F35" s="25" t="n"/>
      <c r="G35" t="inlineStr">
        <is>
          <t>priority_point_passes</t>
        </is>
      </c>
      <c r="H35" s="26" t="n">
        <v>0</v>
      </c>
      <c r="I35" s="26" t="n"/>
      <c r="J35" s="26" t="n"/>
      <c r="M35" t="inlineStr"/>
      <c r="N35" t="inlineStr"/>
      <c r="O35" s="24" t="inlineStr"/>
    </row>
    <row r="36">
      <c r="A36" t="inlineStr">
        <is>
          <t>R7.1</t>
        </is>
      </c>
      <c r="B36" t="inlineStr">
        <is>
          <t>sensitive</t>
        </is>
      </c>
      <c r="C36" s="24" t="inlineStr">
        <is>
          <t>current_rules</t>
        </is>
      </c>
      <c r="D36" s="24" t="inlineStr">
        <is>
          <t>4000_datax-dualjudge-evalset-1.32k</t>
        </is>
      </c>
      <c r="E36" t="inlineStr">
        <is>
          <t>T1</t>
        </is>
      </c>
      <c r="F36" s="25" t="n"/>
      <c r="G36" t="inlineStr">
        <is>
          <t>worst_priority_recall</t>
        </is>
      </c>
      <c r="H36" s="26" t="n">
        <v>0</v>
      </c>
      <c r="I36" s="26" t="n"/>
      <c r="J36" s="26" t="n"/>
      <c r="M36" t="inlineStr"/>
      <c r="N36" t="inlineStr"/>
      <c r="O36" s="24" t="inlineStr"/>
    </row>
    <row r="37">
      <c r="A37" t="inlineStr">
        <is>
          <t>R7.2</t>
        </is>
      </c>
      <c r="B37" t="inlineStr">
        <is>
          <t>sensitive</t>
        </is>
      </c>
      <c r="C37" s="24" t="inlineStr">
        <is>
          <t>current_rules</t>
        </is>
      </c>
      <c r="D37" s="24" t="inlineStr">
        <is>
          <t>6589_govdocs2-dualjudge-eval20-3.53k</t>
        </is>
      </c>
      <c r="E37" t="inlineStr">
        <is>
          <t>T1</t>
        </is>
      </c>
      <c r="F37" s="25" t="n"/>
      <c r="G37" t="inlineStr">
        <is>
          <t>docs_per_s</t>
        </is>
      </c>
      <c r="H37" s="26" t="n">
        <v>4891.10519190457</v>
      </c>
      <c r="I37" s="26" t="n"/>
      <c r="J37" s="26" t="n"/>
      <c r="M37" t="inlineStr"/>
      <c r="N37" t="inlineStr"/>
      <c r="O37" s="24" t="inlineStr"/>
    </row>
    <row r="38">
      <c r="A38" t="inlineStr">
        <is>
          <t>R7.2</t>
        </is>
      </c>
      <c r="B38" t="inlineStr">
        <is>
          <t>sensitive</t>
        </is>
      </c>
      <c r="C38" s="24" t="inlineStr">
        <is>
          <t>current_rules</t>
        </is>
      </c>
      <c r="D38" s="24" t="inlineStr">
        <is>
          <t>6589_govdocs2-dualjudge-eval20-3.53k</t>
        </is>
      </c>
      <c r="E38" t="inlineStr">
        <is>
          <t>T1</t>
        </is>
      </c>
      <c r="F38" s="25" t="n"/>
      <c r="G38" t="inlineStr">
        <is>
          <t>macro_f2</t>
        </is>
      </c>
      <c r="H38" s="26" t="n"/>
      <c r="I38" s="26" t="n"/>
      <c r="J38" s="26" t="n"/>
      <c r="M38" t="inlineStr"/>
      <c r="N38" t="inlineStr"/>
      <c r="O38" s="24" t="inlineStr"/>
    </row>
    <row r="39">
      <c r="A39" t="inlineStr">
        <is>
          <t>R7.2</t>
        </is>
      </c>
      <c r="B39" t="inlineStr">
        <is>
          <t>sensitive</t>
        </is>
      </c>
      <c r="C39" s="24" t="inlineStr">
        <is>
          <t>current_rules</t>
        </is>
      </c>
      <c r="D39" s="24" t="inlineStr">
        <is>
          <t>6589_govdocs2-dualjudge-eval20-3.53k</t>
        </is>
      </c>
      <c r="E39" t="inlineStr">
        <is>
          <t>T1</t>
        </is>
      </c>
      <c r="F39" s="25" t="n"/>
      <c r="G39" t="inlineStr">
        <is>
          <t>micro_f1</t>
        </is>
      </c>
      <c r="H39" s="26" t="n"/>
      <c r="I39" s="26" t="n"/>
      <c r="J39" s="26" t="n"/>
      <c r="M39" t="inlineStr"/>
      <c r="N39" t="inlineStr"/>
      <c r="O39" s="24" t="inlineStr"/>
    </row>
    <row r="40">
      <c r="A40" t="inlineStr">
        <is>
          <t>R7.2</t>
        </is>
      </c>
      <c r="B40" t="inlineStr">
        <is>
          <t>sensitive</t>
        </is>
      </c>
      <c r="C40" s="24" t="inlineStr">
        <is>
          <t>current_rules</t>
        </is>
      </c>
      <c r="D40" s="24" t="inlineStr">
        <is>
          <t>6589_govdocs2-dualjudge-eval20-3.53k</t>
        </is>
      </c>
      <c r="E40" t="inlineStr">
        <is>
          <t>T1</t>
        </is>
      </c>
      <c r="F40" s="25" t="n"/>
      <c r="G40" t="inlineStr">
        <is>
          <t>priority_measurable</t>
        </is>
      </c>
      <c r="H40" s="26" t="n">
        <v>2</v>
      </c>
      <c r="I40" s="26" t="n"/>
      <c r="J40" s="26" t="n"/>
      <c r="M40" t="inlineStr"/>
      <c r="N40" t="inlineStr"/>
      <c r="O40" s="24" t="inlineStr"/>
    </row>
    <row r="41">
      <c r="A41" t="inlineStr">
        <is>
          <t>R7.2</t>
        </is>
      </c>
      <c r="B41" t="inlineStr">
        <is>
          <t>sensitive</t>
        </is>
      </c>
      <c r="C41" s="24" t="inlineStr">
        <is>
          <t>current_rules</t>
        </is>
      </c>
      <c r="D41" s="24" t="inlineStr">
        <is>
          <t>6589_govdocs2-dualjudge-eval20-3.53k</t>
        </is>
      </c>
      <c r="E41" t="inlineStr">
        <is>
          <t>T1</t>
        </is>
      </c>
      <c r="F41" s="25" t="n"/>
      <c r="G41" t="inlineStr">
        <is>
          <t>priority_point_passes</t>
        </is>
      </c>
      <c r="H41" s="26" t="n">
        <v>0</v>
      </c>
      <c r="I41" s="26" t="n"/>
      <c r="J41" s="26" t="n"/>
      <c r="M41" t="inlineStr"/>
      <c r="N41" t="inlineStr"/>
      <c r="O41" s="24" t="inlineStr"/>
    </row>
    <row r="42">
      <c r="A42" t="inlineStr">
        <is>
          <t>R7.2</t>
        </is>
      </c>
      <c r="B42" t="inlineStr">
        <is>
          <t>sensitive</t>
        </is>
      </c>
      <c r="C42" s="24" t="inlineStr">
        <is>
          <t>current_rules</t>
        </is>
      </c>
      <c r="D42" s="24" t="inlineStr">
        <is>
          <t>6589_govdocs2-dualjudge-eval20-3.53k</t>
        </is>
      </c>
      <c r="E42" t="inlineStr">
        <is>
          <t>T1</t>
        </is>
      </c>
      <c r="F42" s="25" t="n"/>
      <c r="G42" t="inlineStr">
        <is>
          <t>worst_priority_recall</t>
        </is>
      </c>
      <c r="H42" s="26" t="n">
        <v>0</v>
      </c>
      <c r="I42" s="26" t="n"/>
      <c r="J42" s="26" t="n"/>
      <c r="M42" t="inlineStr"/>
      <c r="N42" t="inlineStr"/>
      <c r="O42" s="24" t="inlineStr"/>
    </row>
    <row r="43">
      <c r="A43" t="inlineStr">
        <is>
          <t>R7.3</t>
        </is>
      </c>
      <c r="B43" t="inlineStr">
        <is>
          <t>sensitive</t>
        </is>
      </c>
      <c r="C43" s="24" t="inlineStr">
        <is>
          <t>current_rules</t>
        </is>
      </c>
      <c r="D43" s="24" t="inlineStr">
        <is>
          <t>ai4privacy_pii_masking_eval_10k</t>
        </is>
      </c>
      <c r="E43" t="inlineStr">
        <is>
          <t>T1</t>
        </is>
      </c>
      <c r="F43" s="25" t="n"/>
      <c r="G43" t="inlineStr">
        <is>
          <t>docs_per_s</t>
        </is>
      </c>
      <c r="H43" s="26" t="n">
        <v>249550.4287695617</v>
      </c>
      <c r="I43" s="26" t="n"/>
      <c r="J43" s="26" t="n"/>
      <c r="M43" t="inlineStr"/>
      <c r="N43" t="inlineStr"/>
      <c r="O43" s="24" t="inlineStr"/>
    </row>
    <row r="44">
      <c r="A44" t="inlineStr">
        <is>
          <t>R7.3</t>
        </is>
      </c>
      <c r="B44" t="inlineStr">
        <is>
          <t>sensitive</t>
        </is>
      </c>
      <c r="C44" s="24" t="inlineStr">
        <is>
          <t>current_rules</t>
        </is>
      </c>
      <c r="D44" s="24" t="inlineStr">
        <is>
          <t>ai4privacy_pii_masking_eval_10k</t>
        </is>
      </c>
      <c r="E44" t="inlineStr">
        <is>
          <t>T1</t>
        </is>
      </c>
      <c r="F44" s="25" t="n"/>
      <c r="G44" t="inlineStr">
        <is>
          <t>macro_f2</t>
        </is>
      </c>
      <c r="H44" s="26" t="n">
        <v>0.1530788828162198</v>
      </c>
      <c r="I44" s="26" t="n"/>
      <c r="J44" s="26" t="n"/>
      <c r="M44" t="inlineStr"/>
      <c r="N44" t="inlineStr"/>
      <c r="O44" s="24" t="inlineStr"/>
    </row>
    <row r="45">
      <c r="A45" t="inlineStr">
        <is>
          <t>R7.3</t>
        </is>
      </c>
      <c r="B45" t="inlineStr">
        <is>
          <t>sensitive</t>
        </is>
      </c>
      <c r="C45" s="24" t="inlineStr">
        <is>
          <t>current_rules</t>
        </is>
      </c>
      <c r="D45" s="24" t="inlineStr">
        <is>
          <t>ai4privacy_pii_masking_eval_10k</t>
        </is>
      </c>
      <c r="E45" t="inlineStr">
        <is>
          <t>T1</t>
        </is>
      </c>
      <c r="F45" s="25" t="n"/>
      <c r="G45" t="inlineStr">
        <is>
          <t>micro_f1</t>
        </is>
      </c>
      <c r="H45" s="26" t="n">
        <v>0.22315977564898</v>
      </c>
      <c r="I45" s="26" t="n"/>
      <c r="J45" s="26" t="n"/>
      <c r="M45" t="inlineStr"/>
      <c r="N45" t="inlineStr">
        <is>
          <t>yes</t>
        </is>
      </c>
      <c r="O45" s="24" t="inlineStr"/>
    </row>
    <row r="46">
      <c r="A46" t="inlineStr">
        <is>
          <t>R7.3</t>
        </is>
      </c>
      <c r="B46" t="inlineStr">
        <is>
          <t>sensitive</t>
        </is>
      </c>
      <c r="C46" s="24" t="inlineStr">
        <is>
          <t>current_rules</t>
        </is>
      </c>
      <c r="D46" s="24" t="inlineStr">
        <is>
          <t>ai4privacy_pii_masking_eval_10k</t>
        </is>
      </c>
      <c r="E46" t="inlineStr">
        <is>
          <t>T1</t>
        </is>
      </c>
      <c r="F46" s="25" t="n"/>
      <c r="G46" t="inlineStr">
        <is>
          <t>priority_measurable</t>
        </is>
      </c>
      <c r="H46" s="26" t="n">
        <v>10</v>
      </c>
      <c r="I46" s="26" t="n"/>
      <c r="J46" s="26" t="n"/>
      <c r="M46" t="inlineStr"/>
      <c r="N46" t="inlineStr"/>
      <c r="O46" s="24" t="inlineStr"/>
    </row>
    <row r="47">
      <c r="A47" t="inlineStr">
        <is>
          <t>R7.3</t>
        </is>
      </c>
      <c r="B47" t="inlineStr">
        <is>
          <t>sensitive</t>
        </is>
      </c>
      <c r="C47" s="24" t="inlineStr">
        <is>
          <t>current_rules</t>
        </is>
      </c>
      <c r="D47" s="24" t="inlineStr">
        <is>
          <t>ai4privacy_pii_masking_eval_10k</t>
        </is>
      </c>
      <c r="E47" t="inlineStr">
        <is>
          <t>T1</t>
        </is>
      </c>
      <c r="F47" s="25" t="n"/>
      <c r="G47" t="inlineStr">
        <is>
          <t>priority_point_passes</t>
        </is>
      </c>
      <c r="H47" s="26" t="n">
        <v>0</v>
      </c>
      <c r="I47" s="26" t="n"/>
      <c r="J47" s="26" t="n"/>
      <c r="M47" t="inlineStr"/>
      <c r="N47" t="inlineStr"/>
      <c r="O47" s="24" t="inlineStr"/>
    </row>
    <row r="48">
      <c r="A48" t="inlineStr">
        <is>
          <t>R7.3</t>
        </is>
      </c>
      <c r="B48" t="inlineStr">
        <is>
          <t>sensitive</t>
        </is>
      </c>
      <c r="C48" s="24" t="inlineStr">
        <is>
          <t>current_rules</t>
        </is>
      </c>
      <c r="D48" s="24" t="inlineStr">
        <is>
          <t>ai4privacy_pii_masking_eval_10k</t>
        </is>
      </c>
      <c r="E48" t="inlineStr">
        <is>
          <t>T1</t>
        </is>
      </c>
      <c r="F48" s="25" t="n"/>
      <c r="G48" t="inlineStr">
        <is>
          <t>worst_priority_recall</t>
        </is>
      </c>
      <c r="H48" s="26" t="n">
        <v>0</v>
      </c>
      <c r="I48" s="26" t="n"/>
      <c r="J48" s="26" t="n"/>
      <c r="M48" t="inlineStr"/>
      <c r="N48" t="inlineStr"/>
      <c r="O48" s="24" t="inlineStr"/>
    </row>
    <row r="49">
      <c r="A49" t="inlineStr">
        <is>
          <t>R7.4</t>
        </is>
      </c>
      <c r="B49" t="inlineStr">
        <is>
          <t>sensitive</t>
        </is>
      </c>
      <c r="C49" s="24" t="inlineStr">
        <is>
          <t>current_rules</t>
        </is>
      </c>
      <c r="D49" s="24" t="inlineStr">
        <is>
          <t>betterdataai_ner_silver_eval_10k</t>
        </is>
      </c>
      <c r="E49" t="inlineStr">
        <is>
          <t>T1</t>
        </is>
      </c>
      <c r="F49" s="25" t="n"/>
      <c r="G49" t="inlineStr">
        <is>
          <t>docs_per_s</t>
        </is>
      </c>
      <c r="H49" s="26" t="n">
        <v>229739.2796053698</v>
      </c>
      <c r="I49" s="26" t="n"/>
      <c r="J49" s="26" t="n"/>
      <c r="M49" t="inlineStr"/>
      <c r="N49" t="inlineStr"/>
      <c r="O49" s="24" t="inlineStr"/>
    </row>
    <row r="50">
      <c r="A50" t="inlineStr">
        <is>
          <t>R7.4</t>
        </is>
      </c>
      <c r="B50" t="inlineStr">
        <is>
          <t>sensitive</t>
        </is>
      </c>
      <c r="C50" s="24" t="inlineStr">
        <is>
          <t>current_rules</t>
        </is>
      </c>
      <c r="D50" s="24" t="inlineStr">
        <is>
          <t>betterdataai_ner_silver_eval_10k</t>
        </is>
      </c>
      <c r="E50" t="inlineStr">
        <is>
          <t>T1</t>
        </is>
      </c>
      <c r="F50" s="25" t="n"/>
      <c r="G50" t="inlineStr">
        <is>
          <t>macro_f2</t>
        </is>
      </c>
      <c r="H50" s="26" t="n">
        <v>0.01494823833269501</v>
      </c>
      <c r="I50" s="26" t="n"/>
      <c r="J50" s="26" t="n"/>
      <c r="M50" t="inlineStr"/>
      <c r="N50" t="inlineStr"/>
      <c r="O50" s="24" t="inlineStr"/>
    </row>
    <row r="51">
      <c r="A51" t="inlineStr">
        <is>
          <t>R7.4</t>
        </is>
      </c>
      <c r="B51" t="inlineStr">
        <is>
          <t>sensitive</t>
        </is>
      </c>
      <c r="C51" s="24" t="inlineStr">
        <is>
          <t>current_rules</t>
        </is>
      </c>
      <c r="D51" s="24" t="inlineStr">
        <is>
          <t>betterdataai_ner_silver_eval_10k</t>
        </is>
      </c>
      <c r="E51" t="inlineStr">
        <is>
          <t>T1</t>
        </is>
      </c>
      <c r="F51" s="25" t="n"/>
      <c r="G51" t="inlineStr">
        <is>
          <t>micro_f1</t>
        </is>
      </c>
      <c r="H51" s="26" t="n">
        <v>0.02195579950888344</v>
      </c>
      <c r="I51" s="26" t="n"/>
      <c r="J51" s="26" t="n"/>
      <c r="M51" t="inlineStr"/>
      <c r="N51" t="inlineStr">
        <is>
          <t>yes</t>
        </is>
      </c>
      <c r="O51" s="24" t="inlineStr"/>
    </row>
    <row r="52">
      <c r="A52" t="inlineStr">
        <is>
          <t>R7.4</t>
        </is>
      </c>
      <c r="B52" t="inlineStr">
        <is>
          <t>sensitive</t>
        </is>
      </c>
      <c r="C52" s="24" t="inlineStr">
        <is>
          <t>current_rules</t>
        </is>
      </c>
      <c r="D52" s="24" t="inlineStr">
        <is>
          <t>betterdataai_ner_silver_eval_10k</t>
        </is>
      </c>
      <c r="E52" t="inlineStr">
        <is>
          <t>T1</t>
        </is>
      </c>
      <c r="F52" s="25" t="n"/>
      <c r="G52" t="inlineStr">
        <is>
          <t>priority_measurable</t>
        </is>
      </c>
      <c r="H52" s="26" t="n">
        <v>4</v>
      </c>
      <c r="I52" s="26" t="n"/>
      <c r="J52" s="26" t="n"/>
      <c r="M52" t="inlineStr"/>
      <c r="N52" t="inlineStr"/>
      <c r="O52" s="24" t="inlineStr"/>
    </row>
    <row r="53">
      <c r="A53" t="inlineStr">
        <is>
          <t>R7.4</t>
        </is>
      </c>
      <c r="B53" t="inlineStr">
        <is>
          <t>sensitive</t>
        </is>
      </c>
      <c r="C53" s="24" t="inlineStr">
        <is>
          <t>current_rules</t>
        </is>
      </c>
      <c r="D53" s="24" t="inlineStr">
        <is>
          <t>betterdataai_ner_silver_eval_10k</t>
        </is>
      </c>
      <c r="E53" t="inlineStr">
        <is>
          <t>T1</t>
        </is>
      </c>
      <c r="F53" s="25" t="n"/>
      <c r="G53" t="inlineStr">
        <is>
          <t>priority_point_passes</t>
        </is>
      </c>
      <c r="H53" s="26" t="n">
        <v>0</v>
      </c>
      <c r="I53" s="26" t="n"/>
      <c r="J53" s="26" t="n"/>
      <c r="M53" t="inlineStr"/>
      <c r="N53" t="inlineStr"/>
      <c r="O53" s="24" t="inlineStr"/>
    </row>
    <row r="54">
      <c r="A54" t="inlineStr">
        <is>
          <t>R7.4</t>
        </is>
      </c>
      <c r="B54" t="inlineStr">
        <is>
          <t>sensitive</t>
        </is>
      </c>
      <c r="C54" s="24" t="inlineStr">
        <is>
          <t>current_rules</t>
        </is>
      </c>
      <c r="D54" s="24" t="inlineStr">
        <is>
          <t>betterdataai_ner_silver_eval_10k</t>
        </is>
      </c>
      <c r="E54" t="inlineStr">
        <is>
          <t>T1</t>
        </is>
      </c>
      <c r="F54" s="25" t="n"/>
      <c r="G54" t="inlineStr">
        <is>
          <t>worst_priority_recall</t>
        </is>
      </c>
      <c r="H54" s="26" t="n">
        <v>0</v>
      </c>
      <c r="I54" s="26" t="n"/>
      <c r="J54" s="26" t="n"/>
      <c r="M54" t="inlineStr"/>
      <c r="N54" t="inlineStr"/>
      <c r="O54" s="24" t="inlineStr"/>
    </row>
    <row r="55">
      <c r="A55" t="inlineStr">
        <is>
          <t>R7.5</t>
        </is>
      </c>
      <c r="B55" t="inlineStr">
        <is>
          <t>sensitive</t>
        </is>
      </c>
      <c r="C55" s="24" t="inlineStr">
        <is>
          <t>current_rules</t>
        </is>
      </c>
      <c r="D55" s="24" t="inlineStr">
        <is>
          <t>nemotron_eval_6k</t>
        </is>
      </c>
      <c r="E55" t="inlineStr">
        <is>
          <t>T1</t>
        </is>
      </c>
      <c r="F55" s="25" t="n"/>
      <c r="G55" t="inlineStr">
        <is>
          <t>docs_per_s</t>
        </is>
      </c>
      <c r="H55" s="26" t="n">
        <v>111732.0813685692</v>
      </c>
      <c r="I55" s="26" t="n"/>
      <c r="J55" s="26" t="n"/>
      <c r="M55" t="inlineStr"/>
      <c r="N55" t="inlineStr"/>
      <c r="O55" s="24" t="inlineStr"/>
    </row>
    <row r="56">
      <c r="A56" t="inlineStr">
        <is>
          <t>R7.5</t>
        </is>
      </c>
      <c r="B56" t="inlineStr">
        <is>
          <t>sensitive</t>
        </is>
      </c>
      <c r="C56" s="24" t="inlineStr">
        <is>
          <t>current_rules</t>
        </is>
      </c>
      <c r="D56" s="24" t="inlineStr">
        <is>
          <t>nemotron_eval_6k</t>
        </is>
      </c>
      <c r="E56" t="inlineStr">
        <is>
          <t>T1</t>
        </is>
      </c>
      <c r="F56" s="25" t="n"/>
      <c r="G56" t="inlineStr">
        <is>
          <t>macro_f2</t>
        </is>
      </c>
      <c r="H56" s="26" t="n"/>
      <c r="I56" s="26" t="n"/>
      <c r="J56" s="26" t="n"/>
      <c r="M56" t="inlineStr"/>
      <c r="N56" t="inlineStr"/>
      <c r="O56" s="24" t="inlineStr"/>
    </row>
    <row r="57">
      <c r="A57" t="inlineStr">
        <is>
          <t>R7.5</t>
        </is>
      </c>
      <c r="B57" t="inlineStr">
        <is>
          <t>sensitive</t>
        </is>
      </c>
      <c r="C57" s="24" t="inlineStr">
        <is>
          <t>current_rules</t>
        </is>
      </c>
      <c r="D57" s="24" t="inlineStr">
        <is>
          <t>nemotron_eval_6k</t>
        </is>
      </c>
      <c r="E57" t="inlineStr">
        <is>
          <t>T1</t>
        </is>
      </c>
      <c r="F57" s="25" t="n"/>
      <c r="G57" t="inlineStr">
        <is>
          <t>micro_f1</t>
        </is>
      </c>
      <c r="H57" s="26" t="n"/>
      <c r="I57" s="26" t="n"/>
      <c r="J57" s="26" t="n"/>
      <c r="M57" t="inlineStr"/>
      <c r="N57" t="inlineStr"/>
      <c r="O57" s="24" t="inlineStr"/>
    </row>
    <row r="58">
      <c r="A58" t="inlineStr">
        <is>
          <t>R7.5</t>
        </is>
      </c>
      <c r="B58" t="inlineStr">
        <is>
          <t>sensitive</t>
        </is>
      </c>
      <c r="C58" s="24" t="inlineStr">
        <is>
          <t>current_rules</t>
        </is>
      </c>
      <c r="D58" s="24" t="inlineStr">
        <is>
          <t>nemotron_eval_6k</t>
        </is>
      </c>
      <c r="E58" t="inlineStr">
        <is>
          <t>T1</t>
        </is>
      </c>
      <c r="F58" s="25" t="n"/>
      <c r="G58" t="inlineStr">
        <is>
          <t>priority_measurable</t>
        </is>
      </c>
      <c r="H58" s="26" t="n">
        <v>0</v>
      </c>
      <c r="I58" s="26" t="n"/>
      <c r="J58" s="26" t="n"/>
      <c r="M58" t="inlineStr"/>
      <c r="N58" t="inlineStr"/>
      <c r="O58" s="24" t="inlineStr"/>
    </row>
    <row r="59">
      <c r="A59" t="inlineStr">
        <is>
          <t>R7.5</t>
        </is>
      </c>
      <c r="B59" t="inlineStr">
        <is>
          <t>sensitive</t>
        </is>
      </c>
      <c r="C59" s="24" t="inlineStr">
        <is>
          <t>current_rules</t>
        </is>
      </c>
      <c r="D59" s="24" t="inlineStr">
        <is>
          <t>nemotron_eval_6k</t>
        </is>
      </c>
      <c r="E59" t="inlineStr">
        <is>
          <t>T1</t>
        </is>
      </c>
      <c r="F59" s="25" t="n"/>
      <c r="G59" t="inlineStr">
        <is>
          <t>priority_point_passes</t>
        </is>
      </c>
      <c r="H59" s="26" t="n">
        <v>0</v>
      </c>
      <c r="I59" s="26" t="n"/>
      <c r="J59" s="26" t="n"/>
      <c r="M59" t="inlineStr"/>
      <c r="N59" t="inlineStr"/>
      <c r="O59" s="24" t="inlineStr"/>
    </row>
    <row r="60">
      <c r="A60" t="inlineStr">
        <is>
          <t>R7.5</t>
        </is>
      </c>
      <c r="B60" t="inlineStr">
        <is>
          <t>sensitive</t>
        </is>
      </c>
      <c r="C60" s="24" t="inlineStr">
        <is>
          <t>current_rules</t>
        </is>
      </c>
      <c r="D60" s="24" t="inlineStr">
        <is>
          <t>nemotron_eval_6k</t>
        </is>
      </c>
      <c r="E60" t="inlineStr">
        <is>
          <t>T1</t>
        </is>
      </c>
      <c r="F60" s="25" t="n"/>
      <c r="G60" t="inlineStr">
        <is>
          <t>worst_priority_recall</t>
        </is>
      </c>
      <c r="H60" s="26" t="n"/>
      <c r="I60" s="26" t="n"/>
      <c r="J60" s="26" t="n"/>
      <c r="M60" t="inlineStr"/>
      <c r="N60" t="inlineStr"/>
      <c r="O60" s="24" t="inlineStr"/>
    </row>
    <row r="61">
      <c r="A61" t="inlineStr">
        <is>
          <t>R7.6</t>
        </is>
      </c>
      <c r="B61" t="inlineStr">
        <is>
          <t>sensitive</t>
        </is>
      </c>
      <c r="C61" s="24" t="inlineStr">
        <is>
          <t>current_rules</t>
        </is>
      </c>
      <c r="D61" s="24" t="inlineStr">
        <is>
          <t>openpii_pii_eval_38k</t>
        </is>
      </c>
      <c r="E61" t="inlineStr">
        <is>
          <t>T1</t>
        </is>
      </c>
      <c r="F61" s="25" t="n"/>
      <c r="G61" t="inlineStr">
        <is>
          <t>docs_per_s</t>
        </is>
      </c>
      <c r="H61" s="26" t="n">
        <v>184685.7706990119</v>
      </c>
      <c r="I61" s="26" t="n"/>
      <c r="J61" s="26" t="n"/>
      <c r="M61" t="inlineStr"/>
      <c r="N61" t="inlineStr"/>
      <c r="O61" s="24" t="inlineStr"/>
    </row>
    <row r="62">
      <c r="A62" t="inlineStr">
        <is>
          <t>R7.6</t>
        </is>
      </c>
      <c r="B62" t="inlineStr">
        <is>
          <t>sensitive</t>
        </is>
      </c>
      <c r="C62" s="24" t="inlineStr">
        <is>
          <t>current_rules</t>
        </is>
      </c>
      <c r="D62" s="24" t="inlineStr">
        <is>
          <t>openpii_pii_eval_38k</t>
        </is>
      </c>
      <c r="E62" t="inlineStr">
        <is>
          <t>T1</t>
        </is>
      </c>
      <c r="F62" s="25" t="n"/>
      <c r="G62" t="inlineStr">
        <is>
          <t>macro_f2</t>
        </is>
      </c>
      <c r="H62" s="26" t="n">
        <v>0.0677819589310179</v>
      </c>
      <c r="I62" s="26" t="n"/>
      <c r="J62" s="26" t="n"/>
      <c r="M62" t="inlineStr"/>
      <c r="N62" t="inlineStr"/>
      <c r="O62" s="24" t="inlineStr"/>
    </row>
    <row r="63">
      <c r="A63" t="inlineStr">
        <is>
          <t>R7.6</t>
        </is>
      </c>
      <c r="B63" t="inlineStr">
        <is>
          <t>sensitive</t>
        </is>
      </c>
      <c r="C63" s="24" t="inlineStr">
        <is>
          <t>current_rules</t>
        </is>
      </c>
      <c r="D63" s="24" t="inlineStr">
        <is>
          <t>openpii_pii_eval_38k</t>
        </is>
      </c>
      <c r="E63" t="inlineStr">
        <is>
          <t>T1</t>
        </is>
      </c>
      <c r="F63" s="25" t="n"/>
      <c r="G63" t="inlineStr">
        <is>
          <t>micro_f1</t>
        </is>
      </c>
      <c r="H63" s="26" t="n">
        <v>0.1167992677754597</v>
      </c>
      <c r="I63" s="26" t="n"/>
      <c r="J63" s="26" t="n"/>
      <c r="M63" t="inlineStr"/>
      <c r="N63" t="inlineStr">
        <is>
          <t>yes</t>
        </is>
      </c>
      <c r="O63" s="24" t="inlineStr"/>
    </row>
    <row r="64">
      <c r="A64" t="inlineStr">
        <is>
          <t>R7.6</t>
        </is>
      </c>
      <c r="B64" t="inlineStr">
        <is>
          <t>sensitive</t>
        </is>
      </c>
      <c r="C64" s="24" t="inlineStr">
        <is>
          <t>current_rules</t>
        </is>
      </c>
      <c r="D64" s="24" t="inlineStr">
        <is>
          <t>openpii_pii_eval_38k</t>
        </is>
      </c>
      <c r="E64" t="inlineStr">
        <is>
          <t>T1</t>
        </is>
      </c>
      <c r="F64" s="25" t="n"/>
      <c r="G64" t="inlineStr">
        <is>
          <t>priority_measurable</t>
        </is>
      </c>
      <c r="H64" s="26" t="n">
        <v>9</v>
      </c>
      <c r="I64" s="26" t="n"/>
      <c r="J64" s="26" t="n"/>
      <c r="M64" t="inlineStr"/>
      <c r="N64" t="inlineStr"/>
      <c r="O64" s="24" t="inlineStr"/>
    </row>
    <row r="65">
      <c r="A65" t="inlineStr">
        <is>
          <t>R7.6</t>
        </is>
      </c>
      <c r="B65" t="inlineStr">
        <is>
          <t>sensitive</t>
        </is>
      </c>
      <c r="C65" s="24" t="inlineStr">
        <is>
          <t>current_rules</t>
        </is>
      </c>
      <c r="D65" s="24" t="inlineStr">
        <is>
          <t>openpii_pii_eval_38k</t>
        </is>
      </c>
      <c r="E65" t="inlineStr">
        <is>
          <t>T1</t>
        </is>
      </c>
      <c r="F65" s="25" t="n"/>
      <c r="G65" t="inlineStr">
        <is>
          <t>priority_point_passes</t>
        </is>
      </c>
      <c r="H65" s="26" t="n">
        <v>0</v>
      </c>
      <c r="I65" s="26" t="n"/>
      <c r="J65" s="26" t="n"/>
      <c r="M65" t="inlineStr"/>
      <c r="N65" t="inlineStr"/>
      <c r="O65" s="24" t="inlineStr"/>
    </row>
    <row r="66">
      <c r="A66" t="inlineStr">
        <is>
          <t>R7.6</t>
        </is>
      </c>
      <c r="B66" t="inlineStr">
        <is>
          <t>sensitive</t>
        </is>
      </c>
      <c r="C66" s="24" t="inlineStr">
        <is>
          <t>current_rules</t>
        </is>
      </c>
      <c r="D66" s="24" t="inlineStr">
        <is>
          <t>openpii_pii_eval_38k</t>
        </is>
      </c>
      <c r="E66" t="inlineStr">
        <is>
          <t>T1</t>
        </is>
      </c>
      <c r="F66" s="25" t="n"/>
      <c r="G66" t="inlineStr">
        <is>
          <t>worst_priority_recall</t>
        </is>
      </c>
      <c r="H66" s="26" t="n">
        <v>0</v>
      </c>
      <c r="I66" s="26" t="n"/>
      <c r="J66" s="26" t="n"/>
      <c r="M66" t="inlineStr"/>
      <c r="N66" t="inlineStr"/>
      <c r="O66" s="24" t="inlineStr"/>
    </row>
    <row r="67">
      <c r="A67" t="inlineStr">
        <is>
          <t>R7.7</t>
        </is>
      </c>
      <c r="B67" t="inlineStr">
        <is>
          <t>sensitive</t>
        </is>
      </c>
      <c r="C67" s="24" t="inlineStr">
        <is>
          <t>current_rules</t>
        </is>
      </c>
      <c r="D67" s="24" t="inlineStr">
        <is>
          <t>pii2_eval_30k</t>
        </is>
      </c>
      <c r="E67" t="inlineStr">
        <is>
          <t>T1</t>
        </is>
      </c>
      <c r="F67" s="25" t="n"/>
      <c r="G67" t="inlineStr">
        <is>
          <t>docs_per_s</t>
        </is>
      </c>
      <c r="H67" s="26" t="n">
        <v>22358.46293628446</v>
      </c>
      <c r="I67" s="26" t="n"/>
      <c r="J67" s="26" t="n"/>
      <c r="M67" t="inlineStr"/>
      <c r="N67" t="inlineStr"/>
      <c r="O67" s="24" t="inlineStr"/>
    </row>
    <row r="68">
      <c r="A68" t="inlineStr">
        <is>
          <t>R7.7</t>
        </is>
      </c>
      <c r="B68" t="inlineStr">
        <is>
          <t>sensitive</t>
        </is>
      </c>
      <c r="C68" s="24" t="inlineStr">
        <is>
          <t>current_rules</t>
        </is>
      </c>
      <c r="D68" s="24" t="inlineStr">
        <is>
          <t>pii2_eval_30k</t>
        </is>
      </c>
      <c r="E68" t="inlineStr">
        <is>
          <t>T1</t>
        </is>
      </c>
      <c r="F68" s="25" t="n"/>
      <c r="G68" t="inlineStr">
        <is>
          <t>macro_f2</t>
        </is>
      </c>
      <c r="H68" s="26" t="n">
        <v>0.1460041231973311</v>
      </c>
      <c r="I68" s="26" t="n"/>
      <c r="J68" s="26" t="n"/>
      <c r="M68" t="inlineStr"/>
      <c r="N68" t="inlineStr"/>
      <c r="O68" s="24" t="inlineStr"/>
    </row>
    <row r="69">
      <c r="A69" t="inlineStr">
        <is>
          <t>R7.7</t>
        </is>
      </c>
      <c r="B69" t="inlineStr">
        <is>
          <t>sensitive</t>
        </is>
      </c>
      <c r="C69" s="24" t="inlineStr">
        <is>
          <t>current_rules</t>
        </is>
      </c>
      <c r="D69" s="24" t="inlineStr">
        <is>
          <t>pii2_eval_30k</t>
        </is>
      </c>
      <c r="E69" t="inlineStr">
        <is>
          <t>T1</t>
        </is>
      </c>
      <c r="F69" s="25" t="n"/>
      <c r="G69" t="inlineStr">
        <is>
          <t>micro_f1</t>
        </is>
      </c>
      <c r="H69" s="26" t="n">
        <v>0.3984836319656886</v>
      </c>
      <c r="I69" s="26" t="n"/>
      <c r="J69" s="26" t="n"/>
      <c r="M69" t="inlineStr"/>
      <c r="N69" t="inlineStr">
        <is>
          <t>yes</t>
        </is>
      </c>
      <c r="O69" s="24" t="inlineStr"/>
    </row>
    <row r="70">
      <c r="A70" t="inlineStr">
        <is>
          <t>R7.7</t>
        </is>
      </c>
      <c r="B70" t="inlineStr">
        <is>
          <t>sensitive</t>
        </is>
      </c>
      <c r="C70" s="24" t="inlineStr">
        <is>
          <t>current_rules</t>
        </is>
      </c>
      <c r="D70" s="24" t="inlineStr">
        <is>
          <t>pii2_eval_30k</t>
        </is>
      </c>
      <c r="E70" t="inlineStr">
        <is>
          <t>T1</t>
        </is>
      </c>
      <c r="F70" s="25" t="n"/>
      <c r="G70" t="inlineStr">
        <is>
          <t>priority_measurable</t>
        </is>
      </c>
      <c r="H70" s="26" t="n">
        <v>15</v>
      </c>
      <c r="I70" s="26" t="n"/>
      <c r="J70" s="26" t="n"/>
      <c r="M70" t="inlineStr"/>
      <c r="N70" t="inlineStr"/>
      <c r="O70" s="24" t="inlineStr"/>
    </row>
    <row r="71">
      <c r="A71" t="inlineStr">
        <is>
          <t>R7.7</t>
        </is>
      </c>
      <c r="B71" t="inlineStr">
        <is>
          <t>sensitive</t>
        </is>
      </c>
      <c r="C71" s="24" t="inlineStr">
        <is>
          <t>current_rules</t>
        </is>
      </c>
      <c r="D71" s="24" t="inlineStr">
        <is>
          <t>pii2_eval_30k</t>
        </is>
      </c>
      <c r="E71" t="inlineStr">
        <is>
          <t>T1</t>
        </is>
      </c>
      <c r="F71" s="25" t="n"/>
      <c r="G71" t="inlineStr">
        <is>
          <t>priority_point_passes</t>
        </is>
      </c>
      <c r="H71" s="26" t="n">
        <v>2</v>
      </c>
      <c r="I71" s="26" t="n"/>
      <c r="J71" s="26" t="n"/>
      <c r="M71" t="inlineStr"/>
      <c r="N71" t="inlineStr"/>
      <c r="O71" s="24" t="inlineStr"/>
    </row>
    <row r="72">
      <c r="A72" t="inlineStr">
        <is>
          <t>R7.7</t>
        </is>
      </c>
      <c r="B72" t="inlineStr">
        <is>
          <t>sensitive</t>
        </is>
      </c>
      <c r="C72" s="24" t="inlineStr">
        <is>
          <t>current_rules</t>
        </is>
      </c>
      <c r="D72" s="24" t="inlineStr">
        <is>
          <t>pii2_eval_30k</t>
        </is>
      </c>
      <c r="E72" t="inlineStr">
        <is>
          <t>T1</t>
        </is>
      </c>
      <c r="F72" s="25" t="n"/>
      <c r="G72" t="inlineStr">
        <is>
          <t>worst_priority_recall</t>
        </is>
      </c>
      <c r="H72" s="26" t="n">
        <v>0</v>
      </c>
      <c r="I72" s="26" t="n"/>
      <c r="J72" s="26" t="n"/>
      <c r="M72" t="inlineStr"/>
      <c r="N72" t="inlineStr"/>
      <c r="O72" s="24" t="inlineStr"/>
    </row>
    <row r="73">
      <c r="A73" t="inlineStr">
        <is>
          <t>R7.8</t>
        </is>
      </c>
      <c r="B73" t="inlineStr">
        <is>
          <t>sensitive</t>
        </is>
      </c>
      <c r="C73" s="24" t="inlineStr">
        <is>
          <t>current_rules</t>
        </is>
      </c>
      <c r="D73" s="24" t="inlineStr">
        <is>
          <t>pii_holdout_20k</t>
        </is>
      </c>
      <c r="E73" t="inlineStr">
        <is>
          <t>T1</t>
        </is>
      </c>
      <c r="F73" s="25" t="n"/>
      <c r="G73" t="inlineStr">
        <is>
          <t>docs_per_s</t>
        </is>
      </c>
      <c r="H73" s="26" t="n">
        <v>17749.75555235439</v>
      </c>
      <c r="I73" s="26" t="n"/>
      <c r="J73" s="26" t="n"/>
      <c r="M73" t="inlineStr"/>
      <c r="N73" t="inlineStr"/>
      <c r="O73" s="24" t="inlineStr"/>
    </row>
    <row r="74">
      <c r="A74" t="inlineStr">
        <is>
          <t>R7.8</t>
        </is>
      </c>
      <c r="B74" t="inlineStr">
        <is>
          <t>sensitive</t>
        </is>
      </c>
      <c r="C74" s="24" t="inlineStr">
        <is>
          <t>current_rules</t>
        </is>
      </c>
      <c r="D74" s="24" t="inlineStr">
        <is>
          <t>pii_holdout_20k</t>
        </is>
      </c>
      <c r="E74" t="inlineStr">
        <is>
          <t>T1</t>
        </is>
      </c>
      <c r="F74" s="25" t="n"/>
      <c r="G74" t="inlineStr">
        <is>
          <t>macro_f2</t>
        </is>
      </c>
      <c r="H74" s="26" t="n">
        <v>0.1106205158625594</v>
      </c>
      <c r="I74" s="26" t="n"/>
      <c r="J74" s="26" t="n"/>
      <c r="M74" t="inlineStr"/>
      <c r="N74" t="inlineStr"/>
      <c r="O74" s="24" t="inlineStr"/>
    </row>
    <row r="75">
      <c r="A75" t="inlineStr">
        <is>
          <t>R7.8</t>
        </is>
      </c>
      <c r="B75" t="inlineStr">
        <is>
          <t>sensitive</t>
        </is>
      </c>
      <c r="C75" s="24" t="inlineStr">
        <is>
          <t>current_rules</t>
        </is>
      </c>
      <c r="D75" s="24" t="inlineStr">
        <is>
          <t>pii_holdout_20k</t>
        </is>
      </c>
      <c r="E75" t="inlineStr">
        <is>
          <t>T1</t>
        </is>
      </c>
      <c r="F75" s="25" t="n"/>
      <c r="G75" t="inlineStr">
        <is>
          <t>micro_f1</t>
        </is>
      </c>
      <c r="H75" s="26" t="n">
        <v>0.2397210946706822</v>
      </c>
      <c r="I75" s="26" t="n"/>
      <c r="J75" s="26" t="n"/>
      <c r="M75" t="inlineStr"/>
      <c r="N75" t="inlineStr">
        <is>
          <t>yes</t>
        </is>
      </c>
      <c r="O75" s="24" t="inlineStr"/>
    </row>
    <row r="76">
      <c r="A76" t="inlineStr">
        <is>
          <t>R7.8</t>
        </is>
      </c>
      <c r="B76" t="inlineStr">
        <is>
          <t>sensitive</t>
        </is>
      </c>
      <c r="C76" s="24" t="inlineStr">
        <is>
          <t>current_rules</t>
        </is>
      </c>
      <c r="D76" s="24" t="inlineStr">
        <is>
          <t>pii_holdout_20k</t>
        </is>
      </c>
      <c r="E76" t="inlineStr">
        <is>
          <t>T1</t>
        </is>
      </c>
      <c r="F76" s="25" t="n"/>
      <c r="G76" t="inlineStr">
        <is>
          <t>priority_measurable</t>
        </is>
      </c>
      <c r="H76" s="26" t="n">
        <v>14</v>
      </c>
      <c r="I76" s="26" t="n"/>
      <c r="J76" s="26" t="n"/>
      <c r="M76" t="inlineStr"/>
      <c r="N76" t="inlineStr"/>
      <c r="O76" s="24" t="inlineStr"/>
    </row>
    <row r="77">
      <c r="A77" t="inlineStr">
        <is>
          <t>R7.8</t>
        </is>
      </c>
      <c r="B77" t="inlineStr">
        <is>
          <t>sensitive</t>
        </is>
      </c>
      <c r="C77" s="24" t="inlineStr">
        <is>
          <t>current_rules</t>
        </is>
      </c>
      <c r="D77" s="24" t="inlineStr">
        <is>
          <t>pii_holdout_20k</t>
        </is>
      </c>
      <c r="E77" t="inlineStr">
        <is>
          <t>T1</t>
        </is>
      </c>
      <c r="F77" s="25" t="n"/>
      <c r="G77" t="inlineStr">
        <is>
          <t>priority_point_passes</t>
        </is>
      </c>
      <c r="H77" s="26" t="n">
        <v>0</v>
      </c>
      <c r="I77" s="26" t="n"/>
      <c r="J77" s="26" t="n"/>
      <c r="M77" t="inlineStr"/>
      <c r="N77" t="inlineStr"/>
      <c r="O77" s="24" t="inlineStr"/>
    </row>
    <row r="78">
      <c r="A78" t="inlineStr">
        <is>
          <t>R7.8</t>
        </is>
      </c>
      <c r="B78" t="inlineStr">
        <is>
          <t>sensitive</t>
        </is>
      </c>
      <c r="C78" s="24" t="inlineStr">
        <is>
          <t>current_rules</t>
        </is>
      </c>
      <c r="D78" s="24" t="inlineStr">
        <is>
          <t>pii_holdout_20k</t>
        </is>
      </c>
      <c r="E78" t="inlineStr">
        <is>
          <t>T1</t>
        </is>
      </c>
      <c r="F78" s="25" t="n"/>
      <c r="G78" t="inlineStr">
        <is>
          <t>worst_priority_recall</t>
        </is>
      </c>
      <c r="H78" s="26" t="n">
        <v>0</v>
      </c>
      <c r="I78" s="26" t="n"/>
      <c r="J78" s="26" t="n"/>
      <c r="M78" t="inlineStr"/>
      <c r="N78" t="inlineStr"/>
      <c r="O78" s="24" t="inlineStr"/>
    </row>
    <row r="79">
      <c r="A79" t="inlineStr">
        <is>
          <t>R7.9</t>
        </is>
      </c>
      <c r="B79" t="inlineStr">
        <is>
          <t>sensitive</t>
        </is>
      </c>
      <c r="C79" s="24" t="inlineStr">
        <is>
          <t>hash_sgd</t>
        </is>
      </c>
      <c r="D79" s="24" t="inlineStr">
        <is>
          <t>4000_datax-dualjudge-evalset-1.32k</t>
        </is>
      </c>
      <c r="E79" t="inlineStr">
        <is>
          <t>T1</t>
        </is>
      </c>
      <c r="F79" s="25" t="n"/>
      <c r="G79" t="inlineStr">
        <is>
          <t>docs_per_s</t>
        </is>
      </c>
      <c r="H79" s="26" t="n">
        <v>2636.929668000428</v>
      </c>
      <c r="I79" s="26" t="n"/>
      <c r="J79" s="26" t="n"/>
      <c r="M79" t="inlineStr"/>
      <c r="N79" t="inlineStr"/>
      <c r="O79" s="24" t="inlineStr"/>
    </row>
    <row r="80">
      <c r="A80" t="inlineStr">
        <is>
          <t>R7.9</t>
        </is>
      </c>
      <c r="B80" t="inlineStr">
        <is>
          <t>sensitive</t>
        </is>
      </c>
      <c r="C80" s="24" t="inlineStr">
        <is>
          <t>hash_sgd</t>
        </is>
      </c>
      <c r="D80" s="24" t="inlineStr">
        <is>
          <t>4000_datax-dualjudge-evalset-1.32k</t>
        </is>
      </c>
      <c r="E80" t="inlineStr">
        <is>
          <t>T1</t>
        </is>
      </c>
      <c r="F80" s="25" t="n"/>
      <c r="G80" t="inlineStr">
        <is>
          <t>macro_f2</t>
        </is>
      </c>
      <c r="H80" s="26" t="n"/>
      <c r="I80" s="26" t="n"/>
      <c r="J80" s="26" t="n"/>
      <c r="M80" t="inlineStr"/>
      <c r="N80" t="inlineStr"/>
      <c r="O80" s="24" t="inlineStr"/>
    </row>
    <row r="81">
      <c r="A81" t="inlineStr">
        <is>
          <t>R7.9</t>
        </is>
      </c>
      <c r="B81" t="inlineStr">
        <is>
          <t>sensitive</t>
        </is>
      </c>
      <c r="C81" s="24" t="inlineStr">
        <is>
          <t>hash_sgd</t>
        </is>
      </c>
      <c r="D81" s="24" t="inlineStr">
        <is>
          <t>4000_datax-dualjudge-evalset-1.32k</t>
        </is>
      </c>
      <c r="E81" t="inlineStr">
        <is>
          <t>T1</t>
        </is>
      </c>
      <c r="F81" s="25" t="n"/>
      <c r="G81" t="inlineStr">
        <is>
          <t>micro_f1</t>
        </is>
      </c>
      <c r="H81" s="26" t="n"/>
      <c r="I81" s="26" t="n"/>
      <c r="J81" s="26" t="n"/>
      <c r="M81" t="inlineStr"/>
      <c r="N81" t="inlineStr"/>
      <c r="O81" s="24" t="inlineStr"/>
    </row>
    <row r="82">
      <c r="A82" t="inlineStr">
        <is>
          <t>R7.9</t>
        </is>
      </c>
      <c r="B82" t="inlineStr">
        <is>
          <t>sensitive</t>
        </is>
      </c>
      <c r="C82" s="24" t="inlineStr">
        <is>
          <t>hash_sgd</t>
        </is>
      </c>
      <c r="D82" s="24" t="inlineStr">
        <is>
          <t>4000_datax-dualjudge-evalset-1.32k</t>
        </is>
      </c>
      <c r="E82" t="inlineStr">
        <is>
          <t>T1</t>
        </is>
      </c>
      <c r="F82" s="25" t="n"/>
      <c r="G82" t="inlineStr">
        <is>
          <t>priority_measurable</t>
        </is>
      </c>
      <c r="H82" s="26" t="n">
        <v>1</v>
      </c>
      <c r="I82" s="26" t="n"/>
      <c r="J82" s="26" t="n"/>
      <c r="M82" t="inlineStr"/>
      <c r="N82" t="inlineStr"/>
      <c r="O82" s="24" t="inlineStr"/>
    </row>
    <row r="83">
      <c r="A83" t="inlineStr">
        <is>
          <t>R7.9</t>
        </is>
      </c>
      <c r="B83" t="inlineStr">
        <is>
          <t>sensitive</t>
        </is>
      </c>
      <c r="C83" s="24" t="inlineStr">
        <is>
          <t>hash_sgd</t>
        </is>
      </c>
      <c r="D83" s="24" t="inlineStr">
        <is>
          <t>4000_datax-dualjudge-evalset-1.32k</t>
        </is>
      </c>
      <c r="E83" t="inlineStr">
        <is>
          <t>T1</t>
        </is>
      </c>
      <c r="F83" s="25" t="n"/>
      <c r="G83" t="inlineStr">
        <is>
          <t>priority_point_passes</t>
        </is>
      </c>
      <c r="H83" s="26" t="n">
        <v>1</v>
      </c>
      <c r="I83" s="26" t="n"/>
      <c r="J83" s="26" t="n"/>
      <c r="M83" t="inlineStr"/>
      <c r="N83" t="inlineStr"/>
      <c r="O83" s="24" t="inlineStr"/>
    </row>
    <row r="84">
      <c r="A84" t="inlineStr">
        <is>
          <t>R7.9</t>
        </is>
      </c>
      <c r="B84" t="inlineStr">
        <is>
          <t>sensitive</t>
        </is>
      </c>
      <c r="C84" s="24" t="inlineStr">
        <is>
          <t>hash_sgd</t>
        </is>
      </c>
      <c r="D84" s="24" t="inlineStr">
        <is>
          <t>4000_datax-dualjudge-evalset-1.32k</t>
        </is>
      </c>
      <c r="E84" t="inlineStr">
        <is>
          <t>T1</t>
        </is>
      </c>
      <c r="F84" s="25" t="n"/>
      <c r="G84" t="inlineStr">
        <is>
          <t>worst_priority_recall</t>
        </is>
      </c>
      <c r="H84" s="26" t="n">
        <v>1</v>
      </c>
      <c r="I84" s="26" t="n"/>
      <c r="J84" s="26" t="n"/>
      <c r="M84" t="inlineStr"/>
      <c r="N84" t="inlineStr"/>
      <c r="O84" s="24" t="inlineStr"/>
    </row>
    <row r="85">
      <c r="A85" t="inlineStr">
        <is>
          <t>R7.10</t>
        </is>
      </c>
      <c r="B85" t="inlineStr">
        <is>
          <t>sensitive</t>
        </is>
      </c>
      <c r="C85" s="24" t="inlineStr">
        <is>
          <t>hash_sgd</t>
        </is>
      </c>
      <c r="D85" s="24" t="inlineStr">
        <is>
          <t>6589_govdocs2-dualjudge-eval20-3.53k</t>
        </is>
      </c>
      <c r="E85" t="inlineStr">
        <is>
          <t>T1</t>
        </is>
      </c>
      <c r="F85" s="25" t="n"/>
      <c r="G85" t="inlineStr">
        <is>
          <t>docs_per_s</t>
        </is>
      </c>
      <c r="H85" s="26" t="n">
        <v>2380.389352953886</v>
      </c>
      <c r="I85" s="26" t="n"/>
      <c r="J85" s="26" t="n"/>
      <c r="M85" t="inlineStr"/>
      <c r="N85" t="inlineStr"/>
      <c r="O85" s="24" t="inlineStr"/>
    </row>
    <row r="86">
      <c r="A86" t="inlineStr">
        <is>
          <t>R7.10</t>
        </is>
      </c>
      <c r="B86" t="inlineStr">
        <is>
          <t>sensitive</t>
        </is>
      </c>
      <c r="C86" s="24" t="inlineStr">
        <is>
          <t>hash_sgd</t>
        </is>
      </c>
      <c r="D86" s="24" t="inlineStr">
        <is>
          <t>6589_govdocs2-dualjudge-eval20-3.53k</t>
        </is>
      </c>
      <c r="E86" t="inlineStr">
        <is>
          <t>T1</t>
        </is>
      </c>
      <c r="F86" s="25" t="n"/>
      <c r="G86" t="inlineStr">
        <is>
          <t>macro_f2</t>
        </is>
      </c>
      <c r="H86" s="26" t="n"/>
      <c r="I86" s="26" t="n"/>
      <c r="J86" s="26" t="n"/>
      <c r="M86" t="inlineStr"/>
      <c r="N86" t="inlineStr"/>
      <c r="O86" s="24" t="inlineStr"/>
    </row>
    <row r="87">
      <c r="A87" t="inlineStr">
        <is>
          <t>R7.10</t>
        </is>
      </c>
      <c r="B87" t="inlineStr">
        <is>
          <t>sensitive</t>
        </is>
      </c>
      <c r="C87" s="24" t="inlineStr">
        <is>
          <t>hash_sgd</t>
        </is>
      </c>
      <c r="D87" s="24" t="inlineStr">
        <is>
          <t>6589_govdocs2-dualjudge-eval20-3.53k</t>
        </is>
      </c>
      <c r="E87" t="inlineStr">
        <is>
          <t>T1</t>
        </is>
      </c>
      <c r="F87" s="25" t="n"/>
      <c r="G87" t="inlineStr">
        <is>
          <t>micro_f1</t>
        </is>
      </c>
      <c r="H87" s="26" t="n"/>
      <c r="I87" s="26" t="n"/>
      <c r="J87" s="26" t="n"/>
      <c r="M87" t="inlineStr"/>
      <c r="N87" t="inlineStr"/>
      <c r="O87" s="24" t="inlineStr"/>
    </row>
    <row r="88">
      <c r="A88" t="inlineStr">
        <is>
          <t>R7.10</t>
        </is>
      </c>
      <c r="B88" t="inlineStr">
        <is>
          <t>sensitive</t>
        </is>
      </c>
      <c r="C88" s="24" t="inlineStr">
        <is>
          <t>hash_sgd</t>
        </is>
      </c>
      <c r="D88" s="24" t="inlineStr">
        <is>
          <t>6589_govdocs2-dualjudge-eval20-3.53k</t>
        </is>
      </c>
      <c r="E88" t="inlineStr">
        <is>
          <t>T1</t>
        </is>
      </c>
      <c r="F88" s="25" t="n"/>
      <c r="G88" t="inlineStr">
        <is>
          <t>priority_measurable</t>
        </is>
      </c>
      <c r="H88" s="26" t="n">
        <v>2</v>
      </c>
      <c r="I88" s="26" t="n"/>
      <c r="J88" s="26" t="n"/>
      <c r="M88" t="inlineStr"/>
      <c r="N88" t="inlineStr"/>
      <c r="O88" s="24" t="inlineStr"/>
    </row>
    <row r="89">
      <c r="A89" t="inlineStr">
        <is>
          <t>R7.10</t>
        </is>
      </c>
      <c r="B89" t="inlineStr">
        <is>
          <t>sensitive</t>
        </is>
      </c>
      <c r="C89" s="24" t="inlineStr">
        <is>
          <t>hash_sgd</t>
        </is>
      </c>
      <c r="D89" s="24" t="inlineStr">
        <is>
          <t>6589_govdocs2-dualjudge-eval20-3.53k</t>
        </is>
      </c>
      <c r="E89" t="inlineStr">
        <is>
          <t>T1</t>
        </is>
      </c>
      <c r="F89" s="25" t="n"/>
      <c r="G89" t="inlineStr">
        <is>
          <t>priority_point_passes</t>
        </is>
      </c>
      <c r="H89" s="26" t="n">
        <v>2</v>
      </c>
      <c r="I89" s="26" t="n"/>
      <c r="J89" s="26" t="n"/>
      <c r="M89" t="inlineStr"/>
      <c r="N89" t="inlineStr"/>
      <c r="O89" s="24" t="inlineStr"/>
    </row>
    <row r="90">
      <c r="A90" t="inlineStr">
        <is>
          <t>R7.10</t>
        </is>
      </c>
      <c r="B90" t="inlineStr">
        <is>
          <t>sensitive</t>
        </is>
      </c>
      <c r="C90" s="24" t="inlineStr">
        <is>
          <t>hash_sgd</t>
        </is>
      </c>
      <c r="D90" s="24" t="inlineStr">
        <is>
          <t>6589_govdocs2-dualjudge-eval20-3.53k</t>
        </is>
      </c>
      <c r="E90" t="inlineStr">
        <is>
          <t>T1</t>
        </is>
      </c>
      <c r="F90" s="25" t="n"/>
      <c r="G90" t="inlineStr">
        <is>
          <t>worst_priority_recall</t>
        </is>
      </c>
      <c r="H90" s="26" t="n">
        <v>0.9966329966329966</v>
      </c>
      <c r="I90" s="26" t="n"/>
      <c r="J90" s="26" t="n"/>
      <c r="M90" t="inlineStr"/>
      <c r="N90" t="inlineStr"/>
      <c r="O90" s="24" t="inlineStr"/>
    </row>
    <row r="91">
      <c r="A91" t="inlineStr">
        <is>
          <t>R7.11</t>
        </is>
      </c>
      <c r="B91" t="inlineStr">
        <is>
          <t>sensitive</t>
        </is>
      </c>
      <c r="C91" s="24" t="inlineStr">
        <is>
          <t>hash_sgd</t>
        </is>
      </c>
      <c r="D91" s="24" t="inlineStr">
        <is>
          <t>ai4privacy_pii_masking_eval_10k</t>
        </is>
      </c>
      <c r="E91" t="inlineStr">
        <is>
          <t>T1</t>
        </is>
      </c>
      <c r="F91" s="25" t="n"/>
      <c r="G91" t="inlineStr">
        <is>
          <t>docs_per_s</t>
        </is>
      </c>
      <c r="H91" s="26" t="n">
        <v>61264.31700388324</v>
      </c>
      <c r="I91" s="26" t="n"/>
      <c r="J91" s="26" t="n"/>
      <c r="M91" t="inlineStr"/>
      <c r="N91" t="inlineStr"/>
      <c r="O91" s="24" t="inlineStr"/>
    </row>
    <row r="92">
      <c r="A92" t="inlineStr">
        <is>
          <t>R7.11</t>
        </is>
      </c>
      <c r="B92" t="inlineStr">
        <is>
          <t>sensitive</t>
        </is>
      </c>
      <c r="C92" s="24" t="inlineStr">
        <is>
          <t>hash_sgd</t>
        </is>
      </c>
      <c r="D92" s="24" t="inlineStr">
        <is>
          <t>ai4privacy_pii_masking_eval_10k</t>
        </is>
      </c>
      <c r="E92" t="inlineStr">
        <is>
          <t>T1</t>
        </is>
      </c>
      <c r="F92" s="25" t="n"/>
      <c r="G92" t="inlineStr">
        <is>
          <t>macro_f2</t>
        </is>
      </c>
      <c r="H92" s="26" t="n">
        <v>0.5138092054139196</v>
      </c>
      <c r="I92" s="26" t="n"/>
      <c r="J92" s="26" t="n"/>
      <c r="M92" t="inlineStr"/>
      <c r="N92" t="inlineStr"/>
      <c r="O92" s="24" t="inlineStr"/>
    </row>
    <row r="93">
      <c r="A93" t="inlineStr">
        <is>
          <t>R7.11</t>
        </is>
      </c>
      <c r="B93" t="inlineStr">
        <is>
          <t>sensitive</t>
        </is>
      </c>
      <c r="C93" s="24" t="inlineStr">
        <is>
          <t>hash_sgd</t>
        </is>
      </c>
      <c r="D93" s="24" t="inlineStr">
        <is>
          <t>ai4privacy_pii_masking_eval_10k</t>
        </is>
      </c>
      <c r="E93" t="inlineStr">
        <is>
          <t>T1</t>
        </is>
      </c>
      <c r="F93" s="25" t="n"/>
      <c r="G93" t="inlineStr">
        <is>
          <t>micro_f1</t>
        </is>
      </c>
      <c r="H93" s="26" t="n">
        <v>0.3472723918567492</v>
      </c>
      <c r="I93" s="26" t="n"/>
      <c r="J93" s="26" t="n"/>
      <c r="M93" t="inlineStr"/>
      <c r="N93" t="inlineStr">
        <is>
          <t>yes</t>
        </is>
      </c>
      <c r="O93" s="24" t="inlineStr"/>
    </row>
    <row r="94">
      <c r="A94" t="inlineStr">
        <is>
          <t>R7.11</t>
        </is>
      </c>
      <c r="B94" t="inlineStr">
        <is>
          <t>sensitive</t>
        </is>
      </c>
      <c r="C94" s="24" t="inlineStr">
        <is>
          <t>hash_sgd</t>
        </is>
      </c>
      <c r="D94" s="24" t="inlineStr">
        <is>
          <t>ai4privacy_pii_masking_eval_10k</t>
        </is>
      </c>
      <c r="E94" t="inlineStr">
        <is>
          <t>T1</t>
        </is>
      </c>
      <c r="F94" s="25" t="n"/>
      <c r="G94" t="inlineStr">
        <is>
          <t>priority_measurable</t>
        </is>
      </c>
      <c r="H94" s="26" t="n">
        <v>10</v>
      </c>
      <c r="I94" s="26" t="n"/>
      <c r="J94" s="26" t="n"/>
      <c r="M94" t="inlineStr"/>
      <c r="N94" t="inlineStr"/>
      <c r="O94" s="24" t="inlineStr"/>
    </row>
    <row r="95">
      <c r="A95" t="inlineStr">
        <is>
          <t>R7.11</t>
        </is>
      </c>
      <c r="B95" t="inlineStr">
        <is>
          <t>sensitive</t>
        </is>
      </c>
      <c r="C95" s="24" t="inlineStr">
        <is>
          <t>hash_sgd</t>
        </is>
      </c>
      <c r="D95" s="24" t="inlineStr">
        <is>
          <t>ai4privacy_pii_masking_eval_10k</t>
        </is>
      </c>
      <c r="E95" t="inlineStr">
        <is>
          <t>T1</t>
        </is>
      </c>
      <c r="F95" s="25" t="n"/>
      <c r="G95" t="inlineStr">
        <is>
          <t>priority_point_passes</t>
        </is>
      </c>
      <c r="H95" s="26" t="n">
        <v>10</v>
      </c>
      <c r="I95" s="26" t="n"/>
      <c r="J95" s="26" t="n"/>
      <c r="M95" t="inlineStr"/>
      <c r="N95" t="inlineStr"/>
      <c r="O95" s="24" t="inlineStr"/>
    </row>
    <row r="96">
      <c r="A96" t="inlineStr">
        <is>
          <t>R7.11</t>
        </is>
      </c>
      <c r="B96" t="inlineStr">
        <is>
          <t>sensitive</t>
        </is>
      </c>
      <c r="C96" s="24" t="inlineStr">
        <is>
          <t>hash_sgd</t>
        </is>
      </c>
      <c r="D96" s="24" t="inlineStr">
        <is>
          <t>ai4privacy_pii_masking_eval_10k</t>
        </is>
      </c>
      <c r="E96" t="inlineStr">
        <is>
          <t>T1</t>
        </is>
      </c>
      <c r="F96" s="25" t="n"/>
      <c r="G96" t="inlineStr">
        <is>
          <t>worst_priority_recall</t>
        </is>
      </c>
      <c r="H96" s="26" t="n">
        <v>0.9990925589836661</v>
      </c>
      <c r="I96" s="26" t="n"/>
      <c r="J96" s="26" t="n"/>
      <c r="M96" t="inlineStr"/>
      <c r="N96" t="inlineStr"/>
      <c r="O96" s="24" t="inlineStr"/>
    </row>
    <row r="97">
      <c r="A97" t="inlineStr">
        <is>
          <t>R7.12</t>
        </is>
      </c>
      <c r="B97" t="inlineStr">
        <is>
          <t>sensitive</t>
        </is>
      </c>
      <c r="C97" s="24" t="inlineStr">
        <is>
          <t>hash_sgd</t>
        </is>
      </c>
      <c r="D97" s="24" t="inlineStr">
        <is>
          <t>betterdataai_ner_silver_eval_10k</t>
        </is>
      </c>
      <c r="E97" t="inlineStr">
        <is>
          <t>T1</t>
        </is>
      </c>
      <c r="F97" s="25" t="n"/>
      <c r="G97" t="inlineStr">
        <is>
          <t>docs_per_s</t>
        </is>
      </c>
      <c r="H97" s="26" t="n">
        <v>47719.85284748786</v>
      </c>
      <c r="I97" s="26" t="n"/>
      <c r="J97" s="26" t="n"/>
      <c r="M97" t="inlineStr"/>
      <c r="N97" t="inlineStr"/>
      <c r="O97" s="24" t="inlineStr"/>
    </row>
    <row r="98">
      <c r="A98" t="inlineStr">
        <is>
          <t>R7.12</t>
        </is>
      </c>
      <c r="B98" t="inlineStr">
        <is>
          <t>sensitive</t>
        </is>
      </c>
      <c r="C98" s="24" t="inlineStr">
        <is>
          <t>hash_sgd</t>
        </is>
      </c>
      <c r="D98" s="24" t="inlineStr">
        <is>
          <t>betterdataai_ner_silver_eval_10k</t>
        </is>
      </c>
      <c r="E98" t="inlineStr">
        <is>
          <t>T1</t>
        </is>
      </c>
      <c r="F98" s="25" t="n"/>
      <c r="G98" t="inlineStr">
        <is>
          <t>macro_f2</t>
        </is>
      </c>
      <c r="H98" s="26" t="n">
        <v>0.1671016615024411</v>
      </c>
      <c r="I98" s="26" t="n"/>
      <c r="J98" s="26" t="n"/>
      <c r="M98" t="inlineStr"/>
      <c r="N98" t="inlineStr"/>
      <c r="O98" s="24" t="inlineStr"/>
    </row>
    <row r="99">
      <c r="A99" t="inlineStr">
        <is>
          <t>R7.12</t>
        </is>
      </c>
      <c r="B99" t="inlineStr">
        <is>
          <t>sensitive</t>
        </is>
      </c>
      <c r="C99" s="24" t="inlineStr">
        <is>
          <t>hash_sgd</t>
        </is>
      </c>
      <c r="D99" s="24" t="inlineStr">
        <is>
          <t>betterdataai_ner_silver_eval_10k</t>
        </is>
      </c>
      <c r="E99" t="inlineStr">
        <is>
          <t>T1</t>
        </is>
      </c>
      <c r="F99" s="25" t="n"/>
      <c r="G99" t="inlineStr">
        <is>
          <t>micro_f1</t>
        </is>
      </c>
      <c r="H99" s="26" t="n">
        <v>0.1946905682323561</v>
      </c>
      <c r="I99" s="26" t="n"/>
      <c r="J99" s="26" t="n"/>
      <c r="M99" t="inlineStr"/>
      <c r="N99" t="inlineStr">
        <is>
          <t>yes</t>
        </is>
      </c>
      <c r="O99" s="24" t="inlineStr"/>
    </row>
    <row r="100">
      <c r="A100" t="inlineStr">
        <is>
          <t>R7.12</t>
        </is>
      </c>
      <c r="B100" t="inlineStr">
        <is>
          <t>sensitive</t>
        </is>
      </c>
      <c r="C100" s="24" t="inlineStr">
        <is>
          <t>hash_sgd</t>
        </is>
      </c>
      <c r="D100" s="24" t="inlineStr">
        <is>
          <t>betterdataai_ner_silver_eval_10k</t>
        </is>
      </c>
      <c r="E100" t="inlineStr">
        <is>
          <t>T1</t>
        </is>
      </c>
      <c r="F100" s="25" t="n"/>
      <c r="G100" t="inlineStr">
        <is>
          <t>priority_measurable</t>
        </is>
      </c>
      <c r="H100" s="26" t="n">
        <v>4</v>
      </c>
      <c r="I100" s="26" t="n"/>
      <c r="J100" s="26" t="n"/>
      <c r="M100" t="inlineStr"/>
      <c r="N100" t="inlineStr"/>
      <c r="O100" s="24" t="inlineStr"/>
    </row>
    <row r="101">
      <c r="A101" t="inlineStr">
        <is>
          <t>R7.12</t>
        </is>
      </c>
      <c r="B101" t="inlineStr">
        <is>
          <t>sensitive</t>
        </is>
      </c>
      <c r="C101" s="24" t="inlineStr">
        <is>
          <t>hash_sgd</t>
        </is>
      </c>
      <c r="D101" s="24" t="inlineStr">
        <is>
          <t>betterdataai_ner_silver_eval_10k</t>
        </is>
      </c>
      <c r="E101" t="inlineStr">
        <is>
          <t>T1</t>
        </is>
      </c>
      <c r="F101" s="25" t="n"/>
      <c r="G101" t="inlineStr">
        <is>
          <t>priority_point_passes</t>
        </is>
      </c>
      <c r="H101" s="26" t="n">
        <v>4</v>
      </c>
      <c r="I101" s="26" t="n"/>
      <c r="J101" s="26" t="n"/>
      <c r="M101" t="inlineStr"/>
      <c r="N101" t="inlineStr"/>
      <c r="O101" s="24" t="inlineStr"/>
    </row>
    <row r="102">
      <c r="A102" t="inlineStr">
        <is>
          <t>R7.12</t>
        </is>
      </c>
      <c r="B102" t="inlineStr">
        <is>
          <t>sensitive</t>
        </is>
      </c>
      <c r="C102" s="24" t="inlineStr">
        <is>
          <t>hash_sgd</t>
        </is>
      </c>
      <c r="D102" s="24" t="inlineStr">
        <is>
          <t>betterdataai_ner_silver_eval_10k</t>
        </is>
      </c>
      <c r="E102" t="inlineStr">
        <is>
          <t>T1</t>
        </is>
      </c>
      <c r="F102" s="25" t="n"/>
      <c r="G102" t="inlineStr">
        <is>
          <t>worst_priority_recall</t>
        </is>
      </c>
      <c r="H102" s="26" t="n">
        <v>1</v>
      </c>
      <c r="I102" s="26" t="n"/>
      <c r="J102" s="26" t="n"/>
      <c r="M102" t="inlineStr"/>
      <c r="N102" t="inlineStr"/>
      <c r="O102" s="24" t="inlineStr"/>
    </row>
    <row r="103">
      <c r="A103" t="inlineStr">
        <is>
          <t>R7.13</t>
        </is>
      </c>
      <c r="B103" t="inlineStr">
        <is>
          <t>sensitive</t>
        </is>
      </c>
      <c r="C103" s="24" t="inlineStr">
        <is>
          <t>hash_sgd</t>
        </is>
      </c>
      <c r="D103" s="24" t="inlineStr">
        <is>
          <t>nemotron_eval_6k</t>
        </is>
      </c>
      <c r="E103" t="inlineStr">
        <is>
          <t>T1</t>
        </is>
      </c>
      <c r="F103" s="25" t="n"/>
      <c r="G103" t="inlineStr">
        <is>
          <t>docs_per_s</t>
        </is>
      </c>
      <c r="H103" s="26" t="n">
        <v>22443.03194729178</v>
      </c>
      <c r="I103" s="26" t="n"/>
      <c r="J103" s="26" t="n"/>
      <c r="M103" t="inlineStr"/>
      <c r="N103" t="inlineStr"/>
      <c r="O103" s="24" t="inlineStr"/>
    </row>
    <row r="104">
      <c r="A104" t="inlineStr">
        <is>
          <t>R7.13</t>
        </is>
      </c>
      <c r="B104" t="inlineStr">
        <is>
          <t>sensitive</t>
        </is>
      </c>
      <c r="C104" s="24" t="inlineStr">
        <is>
          <t>hash_sgd</t>
        </is>
      </c>
      <c r="D104" s="24" t="inlineStr">
        <is>
          <t>nemotron_eval_6k</t>
        </is>
      </c>
      <c r="E104" t="inlineStr">
        <is>
          <t>T1</t>
        </is>
      </c>
      <c r="F104" s="25" t="n"/>
      <c r="G104" t="inlineStr">
        <is>
          <t>macro_f2</t>
        </is>
      </c>
      <c r="H104" s="26" t="n"/>
      <c r="I104" s="26" t="n"/>
      <c r="J104" s="26" t="n"/>
      <c r="M104" t="inlineStr"/>
      <c r="N104" t="inlineStr"/>
      <c r="O104" s="24" t="inlineStr"/>
    </row>
    <row r="105">
      <c r="A105" t="inlineStr">
        <is>
          <t>R7.13</t>
        </is>
      </c>
      <c r="B105" t="inlineStr">
        <is>
          <t>sensitive</t>
        </is>
      </c>
      <c r="C105" s="24" t="inlineStr">
        <is>
          <t>hash_sgd</t>
        </is>
      </c>
      <c r="D105" s="24" t="inlineStr">
        <is>
          <t>nemotron_eval_6k</t>
        </is>
      </c>
      <c r="E105" t="inlineStr">
        <is>
          <t>T1</t>
        </is>
      </c>
      <c r="F105" s="25" t="n"/>
      <c r="G105" t="inlineStr">
        <is>
          <t>micro_f1</t>
        </is>
      </c>
      <c r="H105" s="26" t="n"/>
      <c r="I105" s="26" t="n"/>
      <c r="J105" s="26" t="n"/>
      <c r="M105" t="inlineStr"/>
      <c r="N105" t="inlineStr"/>
      <c r="O105" s="24" t="inlineStr"/>
    </row>
    <row r="106">
      <c r="A106" t="inlineStr">
        <is>
          <t>R7.13</t>
        </is>
      </c>
      <c r="B106" t="inlineStr">
        <is>
          <t>sensitive</t>
        </is>
      </c>
      <c r="C106" s="24" t="inlineStr">
        <is>
          <t>hash_sgd</t>
        </is>
      </c>
      <c r="D106" s="24" t="inlineStr">
        <is>
          <t>nemotron_eval_6k</t>
        </is>
      </c>
      <c r="E106" t="inlineStr">
        <is>
          <t>T1</t>
        </is>
      </c>
      <c r="F106" s="25" t="n"/>
      <c r="G106" t="inlineStr">
        <is>
          <t>priority_measurable</t>
        </is>
      </c>
      <c r="H106" s="26" t="n">
        <v>0</v>
      </c>
      <c r="I106" s="26" t="n"/>
      <c r="J106" s="26" t="n"/>
      <c r="M106" t="inlineStr"/>
      <c r="N106" t="inlineStr"/>
      <c r="O106" s="24" t="inlineStr"/>
    </row>
    <row r="107">
      <c r="A107" t="inlineStr">
        <is>
          <t>R7.13</t>
        </is>
      </c>
      <c r="B107" t="inlineStr">
        <is>
          <t>sensitive</t>
        </is>
      </c>
      <c r="C107" s="24" t="inlineStr">
        <is>
          <t>hash_sgd</t>
        </is>
      </c>
      <c r="D107" s="24" t="inlineStr">
        <is>
          <t>nemotron_eval_6k</t>
        </is>
      </c>
      <c r="E107" t="inlineStr">
        <is>
          <t>T1</t>
        </is>
      </c>
      <c r="F107" s="25" t="n"/>
      <c r="G107" t="inlineStr">
        <is>
          <t>priority_point_passes</t>
        </is>
      </c>
      <c r="H107" s="26" t="n">
        <v>0</v>
      </c>
      <c r="I107" s="26" t="n"/>
      <c r="J107" s="26" t="n"/>
      <c r="M107" t="inlineStr"/>
      <c r="N107" t="inlineStr"/>
      <c r="O107" s="24" t="inlineStr"/>
    </row>
    <row r="108">
      <c r="A108" t="inlineStr">
        <is>
          <t>R7.13</t>
        </is>
      </c>
      <c r="B108" t="inlineStr">
        <is>
          <t>sensitive</t>
        </is>
      </c>
      <c r="C108" s="24" t="inlineStr">
        <is>
          <t>hash_sgd</t>
        </is>
      </c>
      <c r="D108" s="24" t="inlineStr">
        <is>
          <t>nemotron_eval_6k</t>
        </is>
      </c>
      <c r="E108" t="inlineStr">
        <is>
          <t>T1</t>
        </is>
      </c>
      <c r="F108" s="25" t="n"/>
      <c r="G108" t="inlineStr">
        <is>
          <t>worst_priority_recall</t>
        </is>
      </c>
      <c r="H108" s="26" t="n"/>
      <c r="I108" s="26" t="n"/>
      <c r="J108" s="26" t="n"/>
      <c r="M108" t="inlineStr"/>
      <c r="N108" t="inlineStr"/>
      <c r="O108" s="24" t="inlineStr"/>
    </row>
    <row r="109">
      <c r="A109" t="inlineStr">
        <is>
          <t>R7.14</t>
        </is>
      </c>
      <c r="B109" t="inlineStr">
        <is>
          <t>sensitive</t>
        </is>
      </c>
      <c r="C109" s="24" t="inlineStr">
        <is>
          <t>hash_sgd</t>
        </is>
      </c>
      <c r="D109" s="24" t="inlineStr">
        <is>
          <t>openpii_pii_eval_38k</t>
        </is>
      </c>
      <c r="E109" t="inlineStr">
        <is>
          <t>T1</t>
        </is>
      </c>
      <c r="F109" s="25" t="n"/>
      <c r="G109" t="inlineStr">
        <is>
          <t>docs_per_s</t>
        </is>
      </c>
      <c r="H109" s="26" t="n">
        <v>38348.71944544411</v>
      </c>
      <c r="I109" s="26" t="n"/>
      <c r="J109" s="26" t="n"/>
      <c r="M109" t="inlineStr"/>
      <c r="N109" t="inlineStr"/>
      <c r="O109" s="24" t="inlineStr"/>
    </row>
    <row r="110">
      <c r="A110" t="inlineStr">
        <is>
          <t>R7.14</t>
        </is>
      </c>
      <c r="B110" t="inlineStr">
        <is>
          <t>sensitive</t>
        </is>
      </c>
      <c r="C110" s="24" t="inlineStr">
        <is>
          <t>hash_sgd</t>
        </is>
      </c>
      <c r="D110" s="24" t="inlineStr">
        <is>
          <t>openpii_pii_eval_38k</t>
        </is>
      </c>
      <c r="E110" t="inlineStr">
        <is>
          <t>T1</t>
        </is>
      </c>
      <c r="F110" s="25" t="n"/>
      <c r="G110" t="inlineStr">
        <is>
          <t>macro_f2</t>
        </is>
      </c>
      <c r="H110" s="26" t="n">
        <v>0.6489332938717723</v>
      </c>
      <c r="I110" s="26" t="n"/>
      <c r="J110" s="26" t="n"/>
      <c r="M110" t="inlineStr"/>
      <c r="N110" t="inlineStr"/>
      <c r="O110" s="24" t="inlineStr"/>
    </row>
    <row r="111">
      <c r="A111" t="inlineStr">
        <is>
          <t>R7.14</t>
        </is>
      </c>
      <c r="B111" t="inlineStr">
        <is>
          <t>sensitive</t>
        </is>
      </c>
      <c r="C111" s="24" t="inlineStr">
        <is>
          <t>hash_sgd</t>
        </is>
      </c>
      <c r="D111" s="24" t="inlineStr">
        <is>
          <t>openpii_pii_eval_38k</t>
        </is>
      </c>
      <c r="E111" t="inlineStr">
        <is>
          <t>T1</t>
        </is>
      </c>
      <c r="F111" s="25" t="n"/>
      <c r="G111" t="inlineStr">
        <is>
          <t>micro_f1</t>
        </is>
      </c>
      <c r="H111" s="26" t="n">
        <v>0.6582602828889524</v>
      </c>
      <c r="I111" s="26" t="n"/>
      <c r="J111" s="26" t="n"/>
      <c r="M111" t="inlineStr"/>
      <c r="N111" t="inlineStr">
        <is>
          <t>yes</t>
        </is>
      </c>
      <c r="O111" s="24" t="inlineStr"/>
    </row>
    <row r="112">
      <c r="A112" t="inlineStr">
        <is>
          <t>R7.14</t>
        </is>
      </c>
      <c r="B112" t="inlineStr">
        <is>
          <t>sensitive</t>
        </is>
      </c>
      <c r="C112" s="24" t="inlineStr">
        <is>
          <t>hash_sgd</t>
        </is>
      </c>
      <c r="D112" s="24" t="inlineStr">
        <is>
          <t>openpii_pii_eval_38k</t>
        </is>
      </c>
      <c r="E112" t="inlineStr">
        <is>
          <t>T1</t>
        </is>
      </c>
      <c r="F112" s="25" t="n"/>
      <c r="G112" t="inlineStr">
        <is>
          <t>priority_measurable</t>
        </is>
      </c>
      <c r="H112" s="26" t="n">
        <v>9</v>
      </c>
      <c r="I112" s="26" t="n"/>
      <c r="J112" s="26" t="n"/>
      <c r="M112" t="inlineStr"/>
      <c r="N112" t="inlineStr"/>
      <c r="O112" s="24" t="inlineStr"/>
    </row>
    <row r="113">
      <c r="A113" t="inlineStr">
        <is>
          <t>R7.14</t>
        </is>
      </c>
      <c r="B113" t="inlineStr">
        <is>
          <t>sensitive</t>
        </is>
      </c>
      <c r="C113" s="24" t="inlineStr">
        <is>
          <t>hash_sgd</t>
        </is>
      </c>
      <c r="D113" s="24" t="inlineStr">
        <is>
          <t>openpii_pii_eval_38k</t>
        </is>
      </c>
      <c r="E113" t="inlineStr">
        <is>
          <t>T1</t>
        </is>
      </c>
      <c r="F113" s="25" t="n"/>
      <c r="G113" t="inlineStr">
        <is>
          <t>priority_point_passes</t>
        </is>
      </c>
      <c r="H113" s="26" t="n">
        <v>9</v>
      </c>
      <c r="I113" s="26" t="n"/>
      <c r="J113" s="26" t="n"/>
      <c r="M113" t="inlineStr"/>
      <c r="N113" t="inlineStr"/>
      <c r="O113" s="24" t="inlineStr"/>
    </row>
    <row r="114">
      <c r="A114" t="inlineStr">
        <is>
          <t>R7.14</t>
        </is>
      </c>
      <c r="B114" t="inlineStr">
        <is>
          <t>sensitive</t>
        </is>
      </c>
      <c r="C114" s="24" t="inlineStr">
        <is>
          <t>hash_sgd</t>
        </is>
      </c>
      <c r="D114" s="24" t="inlineStr">
        <is>
          <t>openpii_pii_eval_38k</t>
        </is>
      </c>
      <c r="E114" t="inlineStr">
        <is>
          <t>T1</t>
        </is>
      </c>
      <c r="F114" s="25" t="n"/>
      <c r="G114" t="inlineStr">
        <is>
          <t>worst_priority_recall</t>
        </is>
      </c>
      <c r="H114" s="26" t="n">
        <v>0.9997093656906197</v>
      </c>
      <c r="I114" s="26" t="n"/>
      <c r="J114" s="26" t="n"/>
      <c r="M114" t="inlineStr"/>
      <c r="N114" t="inlineStr"/>
      <c r="O114" s="24" t="inlineStr"/>
    </row>
    <row r="115">
      <c r="A115" t="inlineStr">
        <is>
          <t>R7.15</t>
        </is>
      </c>
      <c r="B115" t="inlineStr">
        <is>
          <t>sensitive</t>
        </is>
      </c>
      <c r="C115" s="24" t="inlineStr">
        <is>
          <t>hash_sgd</t>
        </is>
      </c>
      <c r="D115" s="24" t="inlineStr">
        <is>
          <t>pii2_eval_30k</t>
        </is>
      </c>
      <c r="E115" t="inlineStr">
        <is>
          <t>T1</t>
        </is>
      </c>
      <c r="F115" s="25" t="n"/>
      <c r="G115" t="inlineStr">
        <is>
          <t>docs_per_s</t>
        </is>
      </c>
      <c r="H115" s="26" t="n">
        <v>5732.555587329211</v>
      </c>
      <c r="I115" s="26" t="n"/>
      <c r="J115" s="26" t="n"/>
      <c r="M115" t="inlineStr"/>
      <c r="N115" t="inlineStr"/>
      <c r="O115" s="24" t="inlineStr"/>
    </row>
    <row r="116">
      <c r="A116" t="inlineStr">
        <is>
          <t>R7.15</t>
        </is>
      </c>
      <c r="B116" t="inlineStr">
        <is>
          <t>sensitive</t>
        </is>
      </c>
      <c r="C116" s="24" t="inlineStr">
        <is>
          <t>hash_sgd</t>
        </is>
      </c>
      <c r="D116" s="24" t="inlineStr">
        <is>
          <t>pii2_eval_30k</t>
        </is>
      </c>
      <c r="E116" t="inlineStr">
        <is>
          <t>T1</t>
        </is>
      </c>
      <c r="F116" s="25" t="n"/>
      <c r="G116" t="inlineStr">
        <is>
          <t>macro_f2</t>
        </is>
      </c>
      <c r="H116" s="26" t="n">
        <v>0.311098893470704</v>
      </c>
      <c r="I116" s="26" t="n"/>
      <c r="J116" s="26" t="n"/>
      <c r="M116" t="inlineStr"/>
      <c r="N116" t="inlineStr"/>
      <c r="O116" s="24" t="inlineStr"/>
    </row>
    <row r="117">
      <c r="A117" t="inlineStr">
        <is>
          <t>R7.15</t>
        </is>
      </c>
      <c r="B117" t="inlineStr">
        <is>
          <t>sensitive</t>
        </is>
      </c>
      <c r="C117" s="24" t="inlineStr">
        <is>
          <t>hash_sgd</t>
        </is>
      </c>
      <c r="D117" s="24" t="inlineStr">
        <is>
          <t>pii2_eval_30k</t>
        </is>
      </c>
      <c r="E117" t="inlineStr">
        <is>
          <t>T1</t>
        </is>
      </c>
      <c r="F117" s="25" t="n"/>
      <c r="G117" t="inlineStr">
        <is>
          <t>micro_f1</t>
        </is>
      </c>
      <c r="H117" s="26" t="n">
        <v>0.146864267904674</v>
      </c>
      <c r="I117" s="26" t="n"/>
      <c r="J117" s="26" t="n"/>
      <c r="M117" t="inlineStr"/>
      <c r="N117" t="inlineStr">
        <is>
          <t>yes</t>
        </is>
      </c>
      <c r="O117" s="24" t="inlineStr"/>
    </row>
    <row r="118">
      <c r="A118" t="inlineStr">
        <is>
          <t>R7.15</t>
        </is>
      </c>
      <c r="B118" t="inlineStr">
        <is>
          <t>sensitive</t>
        </is>
      </c>
      <c r="C118" s="24" t="inlineStr">
        <is>
          <t>hash_sgd</t>
        </is>
      </c>
      <c r="D118" s="24" t="inlineStr">
        <is>
          <t>pii2_eval_30k</t>
        </is>
      </c>
      <c r="E118" t="inlineStr">
        <is>
          <t>T1</t>
        </is>
      </c>
      <c r="F118" s="25" t="n"/>
      <c r="G118" t="inlineStr">
        <is>
          <t>priority_measurable</t>
        </is>
      </c>
      <c r="H118" s="26" t="n">
        <v>15</v>
      </c>
      <c r="I118" s="26" t="n"/>
      <c r="J118" s="26" t="n"/>
      <c r="M118" t="inlineStr"/>
      <c r="N118" t="inlineStr"/>
      <c r="O118" s="24" t="inlineStr"/>
    </row>
    <row r="119">
      <c r="A119" t="inlineStr">
        <is>
          <t>R7.15</t>
        </is>
      </c>
      <c r="B119" t="inlineStr">
        <is>
          <t>sensitive</t>
        </is>
      </c>
      <c r="C119" s="24" t="inlineStr">
        <is>
          <t>hash_sgd</t>
        </is>
      </c>
      <c r="D119" s="24" t="inlineStr">
        <is>
          <t>pii2_eval_30k</t>
        </is>
      </c>
      <c r="E119" t="inlineStr">
        <is>
          <t>T1</t>
        </is>
      </c>
      <c r="F119" s="25" t="n"/>
      <c r="G119" t="inlineStr">
        <is>
          <t>priority_point_passes</t>
        </is>
      </c>
      <c r="H119" s="26" t="n">
        <v>15</v>
      </c>
      <c r="I119" s="26" t="n"/>
      <c r="J119" s="26" t="n"/>
      <c r="M119" t="inlineStr"/>
      <c r="N119" t="inlineStr"/>
      <c r="O119" s="24" t="inlineStr"/>
    </row>
    <row r="120">
      <c r="A120" t="inlineStr">
        <is>
          <t>R7.15</t>
        </is>
      </c>
      <c r="B120" t="inlineStr">
        <is>
          <t>sensitive</t>
        </is>
      </c>
      <c r="C120" s="24" t="inlineStr">
        <is>
          <t>hash_sgd</t>
        </is>
      </c>
      <c r="D120" s="24" t="inlineStr">
        <is>
          <t>pii2_eval_30k</t>
        </is>
      </c>
      <c r="E120" t="inlineStr">
        <is>
          <t>T1</t>
        </is>
      </c>
      <c r="F120" s="25" t="n"/>
      <c r="G120" t="inlineStr">
        <is>
          <t>worst_priority_recall</t>
        </is>
      </c>
      <c r="H120" s="26" t="n">
        <v>1</v>
      </c>
      <c r="I120" s="26" t="n"/>
      <c r="J120" s="26" t="n"/>
      <c r="M120" t="inlineStr"/>
      <c r="N120" t="inlineStr"/>
      <c r="O120" s="24" t="inlineStr"/>
    </row>
    <row r="121">
      <c r="A121" t="inlineStr">
        <is>
          <t>R7.16</t>
        </is>
      </c>
      <c r="B121" t="inlineStr">
        <is>
          <t>sensitive</t>
        </is>
      </c>
      <c r="C121" s="24" t="inlineStr">
        <is>
          <t>hash_sgd</t>
        </is>
      </c>
      <c r="D121" s="24" t="inlineStr">
        <is>
          <t>pii_holdout_20k</t>
        </is>
      </c>
      <c r="E121" t="inlineStr">
        <is>
          <t>T1</t>
        </is>
      </c>
      <c r="F121" s="25" t="n"/>
      <c r="G121" t="inlineStr">
        <is>
          <t>docs_per_s</t>
        </is>
      </c>
      <c r="H121" s="26" t="n">
        <v>6658.495086271451</v>
      </c>
      <c r="I121" s="26" t="n"/>
      <c r="J121" s="26" t="n"/>
      <c r="M121" t="inlineStr"/>
      <c r="N121" t="inlineStr"/>
      <c r="O121" s="24" t="inlineStr"/>
    </row>
    <row r="122">
      <c r="A122" t="inlineStr">
        <is>
          <t>R7.16</t>
        </is>
      </c>
      <c r="B122" t="inlineStr">
        <is>
          <t>sensitive</t>
        </is>
      </c>
      <c r="C122" s="24" t="inlineStr">
        <is>
          <t>hash_sgd</t>
        </is>
      </c>
      <c r="D122" s="24" t="inlineStr">
        <is>
          <t>pii_holdout_20k</t>
        </is>
      </c>
      <c r="E122" t="inlineStr">
        <is>
          <t>T1</t>
        </is>
      </c>
      <c r="F122" s="25" t="n"/>
      <c r="G122" t="inlineStr">
        <is>
          <t>macro_f2</t>
        </is>
      </c>
      <c r="H122" s="26" t="n">
        <v>0.4759054113867193</v>
      </c>
      <c r="I122" s="26" t="n"/>
      <c r="J122" s="26" t="n"/>
      <c r="M122" t="inlineStr"/>
      <c r="N122" t="inlineStr"/>
      <c r="O122" s="24" t="inlineStr"/>
    </row>
    <row r="123">
      <c r="A123" t="inlineStr">
        <is>
          <t>R7.16</t>
        </is>
      </c>
      <c r="B123" t="inlineStr">
        <is>
          <t>sensitive</t>
        </is>
      </c>
      <c r="C123" s="24" t="inlineStr">
        <is>
          <t>hash_sgd</t>
        </is>
      </c>
      <c r="D123" s="24" t="inlineStr">
        <is>
          <t>pii_holdout_20k</t>
        </is>
      </c>
      <c r="E123" t="inlineStr">
        <is>
          <t>T1</t>
        </is>
      </c>
      <c r="F123" s="25" t="n"/>
      <c r="G123" t="inlineStr">
        <is>
          <t>micro_f1</t>
        </is>
      </c>
      <c r="H123" s="26" t="n">
        <v>0.3790274333405324</v>
      </c>
      <c r="I123" s="26" t="n"/>
      <c r="J123" s="26" t="n"/>
      <c r="M123" t="inlineStr"/>
      <c r="N123" t="inlineStr">
        <is>
          <t>yes</t>
        </is>
      </c>
      <c r="O123" s="24" t="inlineStr"/>
    </row>
    <row r="124">
      <c r="A124" t="inlineStr">
        <is>
          <t>R7.16</t>
        </is>
      </c>
      <c r="B124" t="inlineStr">
        <is>
          <t>sensitive</t>
        </is>
      </c>
      <c r="C124" s="24" t="inlineStr">
        <is>
          <t>hash_sgd</t>
        </is>
      </c>
      <c r="D124" s="24" t="inlineStr">
        <is>
          <t>pii_holdout_20k</t>
        </is>
      </c>
      <c r="E124" t="inlineStr">
        <is>
          <t>T1</t>
        </is>
      </c>
      <c r="F124" s="25" t="n"/>
      <c r="G124" t="inlineStr">
        <is>
          <t>priority_measurable</t>
        </is>
      </c>
      <c r="H124" s="26" t="n">
        <v>14</v>
      </c>
      <c r="I124" s="26" t="n"/>
      <c r="J124" s="26" t="n"/>
      <c r="M124" t="inlineStr"/>
      <c r="N124" t="inlineStr"/>
      <c r="O124" s="24" t="inlineStr"/>
    </row>
    <row r="125">
      <c r="A125" t="inlineStr">
        <is>
          <t>R7.16</t>
        </is>
      </c>
      <c r="B125" t="inlineStr">
        <is>
          <t>sensitive</t>
        </is>
      </c>
      <c r="C125" s="24" t="inlineStr">
        <is>
          <t>hash_sgd</t>
        </is>
      </c>
      <c r="D125" s="24" t="inlineStr">
        <is>
          <t>pii_holdout_20k</t>
        </is>
      </c>
      <c r="E125" t="inlineStr">
        <is>
          <t>T1</t>
        </is>
      </c>
      <c r="F125" s="25" t="n"/>
      <c r="G125" t="inlineStr">
        <is>
          <t>priority_point_passes</t>
        </is>
      </c>
      <c r="H125" s="26" t="n">
        <v>14</v>
      </c>
      <c r="I125" s="26" t="n"/>
      <c r="J125" s="26" t="n"/>
      <c r="M125" t="inlineStr"/>
      <c r="N125" t="inlineStr"/>
      <c r="O125" s="24" t="inlineStr"/>
    </row>
    <row r="126">
      <c r="A126" t="inlineStr">
        <is>
          <t>R7.16</t>
        </is>
      </c>
      <c r="B126" t="inlineStr">
        <is>
          <t>sensitive</t>
        </is>
      </c>
      <c r="C126" s="24" t="inlineStr">
        <is>
          <t>hash_sgd</t>
        </is>
      </c>
      <c r="D126" s="24" t="inlineStr">
        <is>
          <t>pii_holdout_20k</t>
        </is>
      </c>
      <c r="E126" t="inlineStr">
        <is>
          <t>T1</t>
        </is>
      </c>
      <c r="F126" s="25" t="n"/>
      <c r="G126" t="inlineStr">
        <is>
          <t>worst_priority_recall</t>
        </is>
      </c>
      <c r="H126" s="26" t="n">
        <v>1</v>
      </c>
      <c r="I126" s="26" t="n"/>
      <c r="J126" s="26" t="n"/>
      <c r="M126" t="inlineStr"/>
      <c r="N126" t="inlineStr"/>
      <c r="O126" s="24" t="inlineStr"/>
    </row>
    <row r="127">
      <c r="A127" t="inlineStr">
        <is>
          <t>R7.17</t>
        </is>
      </c>
      <c r="B127" t="inlineStr">
        <is>
          <t>sensitive</t>
        </is>
      </c>
      <c r="C127" s="24" t="inlineStr">
        <is>
          <t>hash_sgd_f2</t>
        </is>
      </c>
      <c r="D127" s="24" t="inlineStr">
        <is>
          <t>4000_datax-dualjudge-evalset-1.32k</t>
        </is>
      </c>
      <c r="E127" t="inlineStr">
        <is>
          <t>T1</t>
        </is>
      </c>
      <c r="F127" s="25" t="n"/>
      <c r="G127" t="inlineStr">
        <is>
          <t>docs_per_s</t>
        </is>
      </c>
      <c r="H127" s="26" t="n">
        <v>2759.564919524478</v>
      </c>
      <c r="I127" s="26" t="n"/>
      <c r="J127" s="26" t="n"/>
      <c r="M127" t="inlineStr"/>
      <c r="N127" t="inlineStr"/>
      <c r="O127" s="24" t="inlineStr"/>
    </row>
    <row r="128">
      <c r="A128" t="inlineStr">
        <is>
          <t>R7.17</t>
        </is>
      </c>
      <c r="B128" t="inlineStr">
        <is>
          <t>sensitive</t>
        </is>
      </c>
      <c r="C128" s="24" t="inlineStr">
        <is>
          <t>hash_sgd_f2</t>
        </is>
      </c>
      <c r="D128" s="24" t="inlineStr">
        <is>
          <t>4000_datax-dualjudge-evalset-1.32k</t>
        </is>
      </c>
      <c r="E128" t="inlineStr">
        <is>
          <t>T1</t>
        </is>
      </c>
      <c r="F128" s="25" t="n"/>
      <c r="G128" t="inlineStr">
        <is>
          <t>macro_f2</t>
        </is>
      </c>
      <c r="H128" s="26" t="n"/>
      <c r="I128" s="26" t="n"/>
      <c r="J128" s="26" t="n"/>
      <c r="M128" t="inlineStr"/>
      <c r="N128" t="inlineStr"/>
      <c r="O128" s="24" t="inlineStr"/>
    </row>
    <row r="129">
      <c r="A129" t="inlineStr">
        <is>
          <t>R7.17</t>
        </is>
      </c>
      <c r="B129" t="inlineStr">
        <is>
          <t>sensitive</t>
        </is>
      </c>
      <c r="C129" s="24" t="inlineStr">
        <is>
          <t>hash_sgd_f2</t>
        </is>
      </c>
      <c r="D129" s="24" t="inlineStr">
        <is>
          <t>4000_datax-dualjudge-evalset-1.32k</t>
        </is>
      </c>
      <c r="E129" t="inlineStr">
        <is>
          <t>T1</t>
        </is>
      </c>
      <c r="F129" s="25" t="n"/>
      <c r="G129" t="inlineStr">
        <is>
          <t>micro_f1</t>
        </is>
      </c>
      <c r="H129" s="26" t="n"/>
      <c r="I129" s="26" t="n"/>
      <c r="J129" s="26" t="n"/>
      <c r="M129" t="inlineStr"/>
      <c r="N129" t="inlineStr"/>
      <c r="O129" s="24" t="inlineStr"/>
    </row>
    <row r="130">
      <c r="A130" t="inlineStr">
        <is>
          <t>R7.17</t>
        </is>
      </c>
      <c r="B130" t="inlineStr">
        <is>
          <t>sensitive</t>
        </is>
      </c>
      <c r="C130" s="24" t="inlineStr">
        <is>
          <t>hash_sgd_f2</t>
        </is>
      </c>
      <c r="D130" s="24" t="inlineStr">
        <is>
          <t>4000_datax-dualjudge-evalset-1.32k</t>
        </is>
      </c>
      <c r="E130" t="inlineStr">
        <is>
          <t>T1</t>
        </is>
      </c>
      <c r="F130" s="25" t="n"/>
      <c r="G130" t="inlineStr">
        <is>
          <t>priority_measurable</t>
        </is>
      </c>
      <c r="H130" s="26" t="n">
        <v>1</v>
      </c>
      <c r="I130" s="26" t="n"/>
      <c r="J130" s="26" t="n"/>
      <c r="M130" t="inlineStr"/>
      <c r="N130" t="inlineStr"/>
      <c r="O130" s="24" t="inlineStr"/>
    </row>
    <row r="131">
      <c r="A131" t="inlineStr">
        <is>
          <t>R7.17</t>
        </is>
      </c>
      <c r="B131" t="inlineStr">
        <is>
          <t>sensitive</t>
        </is>
      </c>
      <c r="C131" s="24" t="inlineStr">
        <is>
          <t>hash_sgd_f2</t>
        </is>
      </c>
      <c r="D131" s="24" t="inlineStr">
        <is>
          <t>4000_datax-dualjudge-evalset-1.32k</t>
        </is>
      </c>
      <c r="E131" t="inlineStr">
        <is>
          <t>T1</t>
        </is>
      </c>
      <c r="F131" s="25" t="n"/>
      <c r="G131" t="inlineStr">
        <is>
          <t>priority_point_passes</t>
        </is>
      </c>
      <c r="H131" s="26" t="n">
        <v>1</v>
      </c>
      <c r="I131" s="26" t="n"/>
      <c r="J131" s="26" t="n"/>
      <c r="M131" t="inlineStr"/>
      <c r="N131" t="inlineStr"/>
      <c r="O131" s="24" t="inlineStr"/>
    </row>
    <row r="132">
      <c r="A132" t="inlineStr">
        <is>
          <t>R7.17</t>
        </is>
      </c>
      <c r="B132" t="inlineStr">
        <is>
          <t>sensitive</t>
        </is>
      </c>
      <c r="C132" s="24" t="inlineStr">
        <is>
          <t>hash_sgd_f2</t>
        </is>
      </c>
      <c r="D132" s="24" t="inlineStr">
        <is>
          <t>4000_datax-dualjudge-evalset-1.32k</t>
        </is>
      </c>
      <c r="E132" t="inlineStr">
        <is>
          <t>T1</t>
        </is>
      </c>
      <c r="F132" s="25" t="n"/>
      <c r="G132" t="inlineStr">
        <is>
          <t>worst_priority_recall</t>
        </is>
      </c>
      <c r="H132" s="26" t="n">
        <v>1</v>
      </c>
      <c r="I132" s="26" t="n"/>
      <c r="J132" s="26" t="n"/>
      <c r="M132" t="inlineStr"/>
      <c r="N132" t="inlineStr"/>
      <c r="O132" s="24" t="inlineStr"/>
    </row>
    <row r="133">
      <c r="A133" t="inlineStr">
        <is>
          <t>R7.18</t>
        </is>
      </c>
      <c r="B133" t="inlineStr">
        <is>
          <t>sensitive</t>
        </is>
      </c>
      <c r="C133" s="24" t="inlineStr">
        <is>
          <t>hash_sgd_f2</t>
        </is>
      </c>
      <c r="D133" s="24" t="inlineStr">
        <is>
          <t>6589_govdocs2-dualjudge-eval20-3.53k</t>
        </is>
      </c>
      <c r="E133" t="inlineStr">
        <is>
          <t>T1</t>
        </is>
      </c>
      <c r="F133" s="25" t="n"/>
      <c r="G133" t="inlineStr">
        <is>
          <t>docs_per_s</t>
        </is>
      </c>
      <c r="H133" s="26" t="n">
        <v>2384.672389916854</v>
      </c>
      <c r="I133" s="26" t="n"/>
      <c r="J133" s="26" t="n"/>
      <c r="M133" t="inlineStr"/>
      <c r="N133" t="inlineStr"/>
      <c r="O133" s="24" t="inlineStr"/>
    </row>
    <row r="134">
      <c r="A134" t="inlineStr">
        <is>
          <t>R7.18</t>
        </is>
      </c>
      <c r="B134" t="inlineStr">
        <is>
          <t>sensitive</t>
        </is>
      </c>
      <c r="C134" s="24" t="inlineStr">
        <is>
          <t>hash_sgd_f2</t>
        </is>
      </c>
      <c r="D134" s="24" t="inlineStr">
        <is>
          <t>6589_govdocs2-dualjudge-eval20-3.53k</t>
        </is>
      </c>
      <c r="E134" t="inlineStr">
        <is>
          <t>T1</t>
        </is>
      </c>
      <c r="F134" s="25" t="n"/>
      <c r="G134" t="inlineStr">
        <is>
          <t>macro_f2</t>
        </is>
      </c>
      <c r="H134" s="26" t="n"/>
      <c r="I134" s="26" t="n"/>
      <c r="J134" s="26" t="n"/>
      <c r="M134" t="inlineStr"/>
      <c r="N134" t="inlineStr"/>
      <c r="O134" s="24" t="inlineStr"/>
    </row>
    <row r="135">
      <c r="A135" t="inlineStr">
        <is>
          <t>R7.18</t>
        </is>
      </c>
      <c r="B135" t="inlineStr">
        <is>
          <t>sensitive</t>
        </is>
      </c>
      <c r="C135" s="24" t="inlineStr">
        <is>
          <t>hash_sgd_f2</t>
        </is>
      </c>
      <c r="D135" s="24" t="inlineStr">
        <is>
          <t>6589_govdocs2-dualjudge-eval20-3.53k</t>
        </is>
      </c>
      <c r="E135" t="inlineStr">
        <is>
          <t>T1</t>
        </is>
      </c>
      <c r="F135" s="25" t="n"/>
      <c r="G135" t="inlineStr">
        <is>
          <t>micro_f1</t>
        </is>
      </c>
      <c r="H135" s="26" t="n"/>
      <c r="I135" s="26" t="n"/>
      <c r="J135" s="26" t="n"/>
      <c r="M135" t="inlineStr"/>
      <c r="N135" t="inlineStr"/>
      <c r="O135" s="24" t="inlineStr"/>
    </row>
    <row r="136">
      <c r="A136" t="inlineStr">
        <is>
          <t>R7.18</t>
        </is>
      </c>
      <c r="B136" t="inlineStr">
        <is>
          <t>sensitive</t>
        </is>
      </c>
      <c r="C136" s="24" t="inlineStr">
        <is>
          <t>hash_sgd_f2</t>
        </is>
      </c>
      <c r="D136" s="24" t="inlineStr">
        <is>
          <t>6589_govdocs2-dualjudge-eval20-3.53k</t>
        </is>
      </c>
      <c r="E136" t="inlineStr">
        <is>
          <t>T1</t>
        </is>
      </c>
      <c r="F136" s="25" t="n"/>
      <c r="G136" t="inlineStr">
        <is>
          <t>priority_measurable</t>
        </is>
      </c>
      <c r="H136" s="26" t="n">
        <v>2</v>
      </c>
      <c r="I136" s="26" t="n"/>
      <c r="J136" s="26" t="n"/>
      <c r="M136" t="inlineStr"/>
      <c r="N136" t="inlineStr"/>
      <c r="O136" s="24" t="inlineStr"/>
    </row>
    <row r="137">
      <c r="A137" t="inlineStr">
        <is>
          <t>R7.18</t>
        </is>
      </c>
      <c r="B137" t="inlineStr">
        <is>
          <t>sensitive</t>
        </is>
      </c>
      <c r="C137" s="24" t="inlineStr">
        <is>
          <t>hash_sgd_f2</t>
        </is>
      </c>
      <c r="D137" s="24" t="inlineStr">
        <is>
          <t>6589_govdocs2-dualjudge-eval20-3.53k</t>
        </is>
      </c>
      <c r="E137" t="inlineStr">
        <is>
          <t>T1</t>
        </is>
      </c>
      <c r="F137" s="25" t="n"/>
      <c r="G137" t="inlineStr">
        <is>
          <t>priority_point_passes</t>
        </is>
      </c>
      <c r="H137" s="26" t="n">
        <v>2</v>
      </c>
      <c r="I137" s="26" t="n"/>
      <c r="J137" s="26" t="n"/>
      <c r="M137" t="inlineStr"/>
      <c r="N137" t="inlineStr"/>
      <c r="O137" s="24" t="inlineStr"/>
    </row>
    <row r="138">
      <c r="A138" t="inlineStr">
        <is>
          <t>R7.18</t>
        </is>
      </c>
      <c r="B138" t="inlineStr">
        <is>
          <t>sensitive</t>
        </is>
      </c>
      <c r="C138" s="24" t="inlineStr">
        <is>
          <t>hash_sgd_f2</t>
        </is>
      </c>
      <c r="D138" s="24" t="inlineStr">
        <is>
          <t>6589_govdocs2-dualjudge-eval20-3.53k</t>
        </is>
      </c>
      <c r="E138" t="inlineStr">
        <is>
          <t>T1</t>
        </is>
      </c>
      <c r="F138" s="25" t="n"/>
      <c r="G138" t="inlineStr">
        <is>
          <t>worst_priority_recall</t>
        </is>
      </c>
      <c r="H138" s="26" t="n">
        <v>0.9943883277216611</v>
      </c>
      <c r="I138" s="26" t="n"/>
      <c r="J138" s="26" t="n"/>
      <c r="M138" t="inlineStr"/>
      <c r="N138" t="inlineStr"/>
      <c r="O138" s="24" t="inlineStr"/>
    </row>
    <row r="139">
      <c r="A139" t="inlineStr">
        <is>
          <t>R7.19</t>
        </is>
      </c>
      <c r="B139" t="inlineStr">
        <is>
          <t>sensitive</t>
        </is>
      </c>
      <c r="C139" s="24" t="inlineStr">
        <is>
          <t>hash_sgd_f2</t>
        </is>
      </c>
      <c r="D139" s="24" t="inlineStr">
        <is>
          <t>ai4privacy_pii_masking_eval_10k</t>
        </is>
      </c>
      <c r="E139" t="inlineStr">
        <is>
          <t>T1</t>
        </is>
      </c>
      <c r="F139" s="25" t="n"/>
      <c r="G139" t="inlineStr">
        <is>
          <t>docs_per_s</t>
        </is>
      </c>
      <c r="H139" s="26" t="n">
        <v>61149.43360197936</v>
      </c>
      <c r="I139" s="26" t="n"/>
      <c r="J139" s="26" t="n"/>
      <c r="M139" t="inlineStr"/>
      <c r="N139" t="inlineStr"/>
      <c r="O139" s="24" t="inlineStr"/>
    </row>
    <row r="140">
      <c r="A140" t="inlineStr">
        <is>
          <t>R7.19</t>
        </is>
      </c>
      <c r="B140" t="inlineStr">
        <is>
          <t>sensitive</t>
        </is>
      </c>
      <c r="C140" s="24" t="inlineStr">
        <is>
          <t>hash_sgd_f2</t>
        </is>
      </c>
      <c r="D140" s="24" t="inlineStr">
        <is>
          <t>ai4privacy_pii_masking_eval_10k</t>
        </is>
      </c>
      <c r="E140" t="inlineStr">
        <is>
          <t>T1</t>
        </is>
      </c>
      <c r="F140" s="25" t="n"/>
      <c r="G140" t="inlineStr">
        <is>
          <t>macro_f2</t>
        </is>
      </c>
      <c r="H140" s="26" t="n">
        <v>0.5421792608605319</v>
      </c>
      <c r="I140" s="26" t="n"/>
      <c r="J140" s="26" t="n"/>
      <c r="M140" t="inlineStr"/>
      <c r="N140" t="inlineStr"/>
      <c r="O140" s="24" t="inlineStr"/>
    </row>
    <row r="141">
      <c r="A141" t="inlineStr">
        <is>
          <t>R7.19</t>
        </is>
      </c>
      <c r="B141" t="inlineStr">
        <is>
          <t>sensitive</t>
        </is>
      </c>
      <c r="C141" s="24" t="inlineStr">
        <is>
          <t>hash_sgd_f2</t>
        </is>
      </c>
      <c r="D141" s="24" t="inlineStr">
        <is>
          <t>ai4privacy_pii_masking_eval_10k</t>
        </is>
      </c>
      <c r="E141" t="inlineStr">
        <is>
          <t>T1</t>
        </is>
      </c>
      <c r="F141" s="25" t="n"/>
      <c r="G141" t="inlineStr">
        <is>
          <t>micro_f1</t>
        </is>
      </c>
      <c r="H141" s="26" t="n">
        <v>0.4734598992638513</v>
      </c>
      <c r="I141" s="26" t="n"/>
      <c r="J141" s="26" t="n"/>
      <c r="M141" t="inlineStr"/>
      <c r="N141" t="inlineStr">
        <is>
          <t>yes</t>
        </is>
      </c>
      <c r="O141" s="24" t="inlineStr"/>
    </row>
    <row r="142">
      <c r="A142" t="inlineStr">
        <is>
          <t>R7.19</t>
        </is>
      </c>
      <c r="B142" t="inlineStr">
        <is>
          <t>sensitive</t>
        </is>
      </c>
      <c r="C142" s="24" t="inlineStr">
        <is>
          <t>hash_sgd_f2</t>
        </is>
      </c>
      <c r="D142" s="24" t="inlineStr">
        <is>
          <t>ai4privacy_pii_masking_eval_10k</t>
        </is>
      </c>
      <c r="E142" t="inlineStr">
        <is>
          <t>T1</t>
        </is>
      </c>
      <c r="F142" s="25" t="n"/>
      <c r="G142" t="inlineStr">
        <is>
          <t>priority_measurable</t>
        </is>
      </c>
      <c r="H142" s="26" t="n">
        <v>10</v>
      </c>
      <c r="I142" s="26" t="n"/>
      <c r="J142" s="26" t="n"/>
      <c r="M142" t="inlineStr"/>
      <c r="N142" t="inlineStr"/>
      <c r="O142" s="24" t="inlineStr"/>
    </row>
    <row r="143">
      <c r="A143" t="inlineStr">
        <is>
          <t>R7.19</t>
        </is>
      </c>
      <c r="B143" t="inlineStr">
        <is>
          <t>sensitive</t>
        </is>
      </c>
      <c r="C143" s="24" t="inlineStr">
        <is>
          <t>hash_sgd_f2</t>
        </is>
      </c>
      <c r="D143" s="24" t="inlineStr">
        <is>
          <t>ai4privacy_pii_masking_eval_10k</t>
        </is>
      </c>
      <c r="E143" t="inlineStr">
        <is>
          <t>T1</t>
        </is>
      </c>
      <c r="F143" s="25" t="n"/>
      <c r="G143" t="inlineStr">
        <is>
          <t>priority_point_passes</t>
        </is>
      </c>
      <c r="H143" s="26" t="n">
        <v>8</v>
      </c>
      <c r="I143" s="26" t="n"/>
      <c r="J143" s="26" t="n"/>
      <c r="M143" t="inlineStr"/>
      <c r="N143" t="inlineStr"/>
      <c r="O143" s="24" t="inlineStr"/>
    </row>
    <row r="144">
      <c r="A144" t="inlineStr">
        <is>
          <t>R7.19</t>
        </is>
      </c>
      <c r="B144" t="inlineStr">
        <is>
          <t>sensitive</t>
        </is>
      </c>
      <c r="C144" s="24" t="inlineStr">
        <is>
          <t>hash_sgd_f2</t>
        </is>
      </c>
      <c r="D144" s="24" t="inlineStr">
        <is>
          <t>ai4privacy_pii_masking_eval_10k</t>
        </is>
      </c>
      <c r="E144" t="inlineStr">
        <is>
          <t>T1</t>
        </is>
      </c>
      <c r="F144" s="25" t="n"/>
      <c r="G144" t="inlineStr">
        <is>
          <t>worst_priority_recall</t>
        </is>
      </c>
      <c r="H144" s="26" t="n">
        <v>0.8757062146892656</v>
      </c>
      <c r="I144" s="26" t="n"/>
      <c r="J144" s="26" t="n"/>
      <c r="M144" t="inlineStr"/>
      <c r="N144" t="inlineStr"/>
      <c r="O144" s="24" t="inlineStr"/>
    </row>
    <row r="145">
      <c r="A145" t="inlineStr">
        <is>
          <t>R7.20</t>
        </is>
      </c>
      <c r="B145" t="inlineStr">
        <is>
          <t>sensitive</t>
        </is>
      </c>
      <c r="C145" s="24" t="inlineStr">
        <is>
          <t>hash_sgd_f2</t>
        </is>
      </c>
      <c r="D145" s="24" t="inlineStr">
        <is>
          <t>betterdataai_ner_silver_eval_10k</t>
        </is>
      </c>
      <c r="E145" t="inlineStr">
        <is>
          <t>T1</t>
        </is>
      </c>
      <c r="F145" s="25" t="n"/>
      <c r="G145" t="inlineStr">
        <is>
          <t>docs_per_s</t>
        </is>
      </c>
      <c r="H145" s="26" t="n">
        <v>48506.326565449</v>
      </c>
      <c r="I145" s="26" t="n"/>
      <c r="J145" s="26" t="n"/>
      <c r="M145" t="inlineStr"/>
      <c r="N145" t="inlineStr"/>
      <c r="O145" s="24" t="inlineStr"/>
    </row>
    <row r="146">
      <c r="A146" t="inlineStr">
        <is>
          <t>R7.20</t>
        </is>
      </c>
      <c r="B146" t="inlineStr">
        <is>
          <t>sensitive</t>
        </is>
      </c>
      <c r="C146" s="24" t="inlineStr">
        <is>
          <t>hash_sgd_f2</t>
        </is>
      </c>
      <c r="D146" s="24" t="inlineStr">
        <is>
          <t>betterdataai_ner_silver_eval_10k</t>
        </is>
      </c>
      <c r="E146" t="inlineStr">
        <is>
          <t>T1</t>
        </is>
      </c>
      <c r="F146" s="25" t="n"/>
      <c r="G146" t="inlineStr">
        <is>
          <t>macro_f2</t>
        </is>
      </c>
      <c r="H146" s="26" t="n">
        <v>0.2291036588973213</v>
      </c>
      <c r="I146" s="26" t="n"/>
      <c r="J146" s="26" t="n"/>
      <c r="M146" t="inlineStr"/>
      <c r="N146" t="inlineStr"/>
      <c r="O146" s="24" t="inlineStr"/>
    </row>
    <row r="147">
      <c r="A147" t="inlineStr">
        <is>
          <t>R7.20</t>
        </is>
      </c>
      <c r="B147" t="inlineStr">
        <is>
          <t>sensitive</t>
        </is>
      </c>
      <c r="C147" s="24" t="inlineStr">
        <is>
          <t>hash_sgd_f2</t>
        </is>
      </c>
      <c r="D147" s="24" t="inlineStr">
        <is>
          <t>betterdataai_ner_silver_eval_10k</t>
        </is>
      </c>
      <c r="E147" t="inlineStr">
        <is>
          <t>T1</t>
        </is>
      </c>
      <c r="F147" s="25" t="n"/>
      <c r="G147" t="inlineStr">
        <is>
          <t>micro_f1</t>
        </is>
      </c>
      <c r="H147" s="26" t="n">
        <v>0.5118565359154233</v>
      </c>
      <c r="I147" s="26" t="n"/>
      <c r="J147" s="26" t="n"/>
      <c r="M147" t="inlineStr"/>
      <c r="N147" t="inlineStr">
        <is>
          <t>yes</t>
        </is>
      </c>
      <c r="O147" s="24" t="inlineStr"/>
    </row>
    <row r="148">
      <c r="A148" t="inlineStr">
        <is>
          <t>R7.20</t>
        </is>
      </c>
      <c r="B148" t="inlineStr">
        <is>
          <t>sensitive</t>
        </is>
      </c>
      <c r="C148" s="24" t="inlineStr">
        <is>
          <t>hash_sgd_f2</t>
        </is>
      </c>
      <c r="D148" s="24" t="inlineStr">
        <is>
          <t>betterdataai_ner_silver_eval_10k</t>
        </is>
      </c>
      <c r="E148" t="inlineStr">
        <is>
          <t>T1</t>
        </is>
      </c>
      <c r="F148" s="25" t="n"/>
      <c r="G148" t="inlineStr">
        <is>
          <t>priority_measurable</t>
        </is>
      </c>
      <c r="H148" s="26" t="n">
        <v>4</v>
      </c>
      <c r="I148" s="26" t="n"/>
      <c r="J148" s="26" t="n"/>
      <c r="M148" t="inlineStr"/>
      <c r="N148" t="inlineStr"/>
      <c r="O148" s="24" t="inlineStr"/>
    </row>
    <row r="149">
      <c r="A149" t="inlineStr">
        <is>
          <t>R7.20</t>
        </is>
      </c>
      <c r="B149" t="inlineStr">
        <is>
          <t>sensitive</t>
        </is>
      </c>
      <c r="C149" s="24" t="inlineStr">
        <is>
          <t>hash_sgd_f2</t>
        </is>
      </c>
      <c r="D149" s="24" t="inlineStr">
        <is>
          <t>betterdataai_ner_silver_eval_10k</t>
        </is>
      </c>
      <c r="E149" t="inlineStr">
        <is>
          <t>T1</t>
        </is>
      </c>
      <c r="F149" s="25" t="n"/>
      <c r="G149" t="inlineStr">
        <is>
          <t>priority_point_passes</t>
        </is>
      </c>
      <c r="H149" s="26" t="n">
        <v>1</v>
      </c>
      <c r="I149" s="26" t="n"/>
      <c r="J149" s="26" t="n"/>
      <c r="M149" t="inlineStr"/>
      <c r="N149" t="inlineStr"/>
      <c r="O149" s="24" t="inlineStr"/>
    </row>
    <row r="150">
      <c r="A150" t="inlineStr">
        <is>
          <t>R7.20</t>
        </is>
      </c>
      <c r="B150" t="inlineStr">
        <is>
          <t>sensitive</t>
        </is>
      </c>
      <c r="C150" s="24" t="inlineStr">
        <is>
          <t>hash_sgd_f2</t>
        </is>
      </c>
      <c r="D150" s="24" t="inlineStr">
        <is>
          <t>betterdataai_ner_silver_eval_10k</t>
        </is>
      </c>
      <c r="E150" t="inlineStr">
        <is>
          <t>T1</t>
        </is>
      </c>
      <c r="F150" s="25" t="n"/>
      <c r="G150" t="inlineStr">
        <is>
          <t>worst_priority_recall</t>
        </is>
      </c>
      <c r="H150" s="26" t="n">
        <v>0.18</v>
      </c>
      <c r="I150" s="26" t="n"/>
      <c r="J150" s="26" t="n"/>
      <c r="M150" t="inlineStr"/>
      <c r="N150" t="inlineStr"/>
      <c r="O150" s="24" t="inlineStr"/>
    </row>
    <row r="151">
      <c r="A151" t="inlineStr">
        <is>
          <t>R7.21</t>
        </is>
      </c>
      <c r="B151" t="inlineStr">
        <is>
          <t>sensitive</t>
        </is>
      </c>
      <c r="C151" s="24" t="inlineStr">
        <is>
          <t>hash_sgd_f2</t>
        </is>
      </c>
      <c r="D151" s="24" t="inlineStr">
        <is>
          <t>nemotron_eval_6k</t>
        </is>
      </c>
      <c r="E151" t="inlineStr">
        <is>
          <t>T1</t>
        </is>
      </c>
      <c r="F151" s="25" t="n"/>
      <c r="G151" t="inlineStr">
        <is>
          <t>docs_per_s</t>
        </is>
      </c>
      <c r="H151" s="26" t="n">
        <v>22408.9405201603</v>
      </c>
      <c r="I151" s="26" t="n"/>
      <c r="J151" s="26" t="n"/>
      <c r="M151" t="inlineStr"/>
      <c r="N151" t="inlineStr"/>
      <c r="O151" s="24" t="inlineStr"/>
    </row>
    <row r="152">
      <c r="A152" t="inlineStr">
        <is>
          <t>R7.21</t>
        </is>
      </c>
      <c r="B152" t="inlineStr">
        <is>
          <t>sensitive</t>
        </is>
      </c>
      <c r="C152" s="24" t="inlineStr">
        <is>
          <t>hash_sgd_f2</t>
        </is>
      </c>
      <c r="D152" s="24" t="inlineStr">
        <is>
          <t>nemotron_eval_6k</t>
        </is>
      </c>
      <c r="E152" t="inlineStr">
        <is>
          <t>T1</t>
        </is>
      </c>
      <c r="F152" s="25" t="n"/>
      <c r="G152" t="inlineStr">
        <is>
          <t>macro_f2</t>
        </is>
      </c>
      <c r="H152" s="26" t="n"/>
      <c r="I152" s="26" t="n"/>
      <c r="J152" s="26" t="n"/>
      <c r="M152" t="inlineStr"/>
      <c r="N152" t="inlineStr"/>
      <c r="O152" s="24" t="inlineStr"/>
    </row>
    <row r="153">
      <c r="A153" t="inlineStr">
        <is>
          <t>R7.21</t>
        </is>
      </c>
      <c r="B153" t="inlineStr">
        <is>
          <t>sensitive</t>
        </is>
      </c>
      <c r="C153" s="24" t="inlineStr">
        <is>
          <t>hash_sgd_f2</t>
        </is>
      </c>
      <c r="D153" s="24" t="inlineStr">
        <is>
          <t>nemotron_eval_6k</t>
        </is>
      </c>
      <c r="E153" t="inlineStr">
        <is>
          <t>T1</t>
        </is>
      </c>
      <c r="F153" s="25" t="n"/>
      <c r="G153" t="inlineStr">
        <is>
          <t>micro_f1</t>
        </is>
      </c>
      <c r="H153" s="26" t="n"/>
      <c r="I153" s="26" t="n"/>
      <c r="J153" s="26" t="n"/>
      <c r="M153" t="inlineStr"/>
      <c r="N153" t="inlineStr"/>
      <c r="O153" s="24" t="inlineStr"/>
    </row>
    <row r="154">
      <c r="A154" t="inlineStr">
        <is>
          <t>R7.21</t>
        </is>
      </c>
      <c r="B154" t="inlineStr">
        <is>
          <t>sensitive</t>
        </is>
      </c>
      <c r="C154" s="24" t="inlineStr">
        <is>
          <t>hash_sgd_f2</t>
        </is>
      </c>
      <c r="D154" s="24" t="inlineStr">
        <is>
          <t>nemotron_eval_6k</t>
        </is>
      </c>
      <c r="E154" t="inlineStr">
        <is>
          <t>T1</t>
        </is>
      </c>
      <c r="F154" s="25" t="n"/>
      <c r="G154" t="inlineStr">
        <is>
          <t>priority_measurable</t>
        </is>
      </c>
      <c r="H154" s="26" t="n">
        <v>0</v>
      </c>
      <c r="I154" s="26" t="n"/>
      <c r="J154" s="26" t="n"/>
      <c r="M154" t="inlineStr"/>
      <c r="N154" t="inlineStr"/>
      <c r="O154" s="24" t="inlineStr"/>
    </row>
    <row r="155">
      <c r="A155" t="inlineStr">
        <is>
          <t>R7.21</t>
        </is>
      </c>
      <c r="B155" t="inlineStr">
        <is>
          <t>sensitive</t>
        </is>
      </c>
      <c r="C155" s="24" t="inlineStr">
        <is>
          <t>hash_sgd_f2</t>
        </is>
      </c>
      <c r="D155" s="24" t="inlineStr">
        <is>
          <t>nemotron_eval_6k</t>
        </is>
      </c>
      <c r="E155" t="inlineStr">
        <is>
          <t>T1</t>
        </is>
      </c>
      <c r="F155" s="25" t="n"/>
      <c r="G155" t="inlineStr">
        <is>
          <t>priority_point_passes</t>
        </is>
      </c>
      <c r="H155" s="26" t="n">
        <v>0</v>
      </c>
      <c r="I155" s="26" t="n"/>
      <c r="J155" s="26" t="n"/>
      <c r="M155" t="inlineStr"/>
      <c r="N155" t="inlineStr"/>
      <c r="O155" s="24" t="inlineStr"/>
    </row>
    <row r="156">
      <c r="A156" t="inlineStr">
        <is>
          <t>R7.21</t>
        </is>
      </c>
      <c r="B156" t="inlineStr">
        <is>
          <t>sensitive</t>
        </is>
      </c>
      <c r="C156" s="24" t="inlineStr">
        <is>
          <t>hash_sgd_f2</t>
        </is>
      </c>
      <c r="D156" s="24" t="inlineStr">
        <is>
          <t>nemotron_eval_6k</t>
        </is>
      </c>
      <c r="E156" t="inlineStr">
        <is>
          <t>T1</t>
        </is>
      </c>
      <c r="F156" s="25" t="n"/>
      <c r="G156" t="inlineStr">
        <is>
          <t>worst_priority_recall</t>
        </is>
      </c>
      <c r="H156" s="26" t="n"/>
      <c r="I156" s="26" t="n"/>
      <c r="J156" s="26" t="n"/>
      <c r="M156" t="inlineStr"/>
      <c r="N156" t="inlineStr"/>
      <c r="O156" s="24" t="inlineStr"/>
    </row>
    <row r="157">
      <c r="A157" t="inlineStr">
        <is>
          <t>R7.22</t>
        </is>
      </c>
      <c r="B157" t="inlineStr">
        <is>
          <t>sensitive</t>
        </is>
      </c>
      <c r="C157" s="24" t="inlineStr">
        <is>
          <t>hash_sgd_f2</t>
        </is>
      </c>
      <c r="D157" s="24" t="inlineStr">
        <is>
          <t>openpii_pii_eval_38k</t>
        </is>
      </c>
      <c r="E157" t="inlineStr">
        <is>
          <t>T1</t>
        </is>
      </c>
      <c r="F157" s="25" t="n"/>
      <c r="G157" t="inlineStr">
        <is>
          <t>docs_per_s</t>
        </is>
      </c>
      <c r="H157" s="26" t="n">
        <v>43636.28964628037</v>
      </c>
      <c r="I157" s="26" t="n"/>
      <c r="J157" s="26" t="n"/>
      <c r="M157" t="inlineStr"/>
      <c r="N157" t="inlineStr"/>
      <c r="O157" s="24" t="inlineStr"/>
    </row>
    <row r="158">
      <c r="A158" t="inlineStr">
        <is>
          <t>R7.22</t>
        </is>
      </c>
      <c r="B158" t="inlineStr">
        <is>
          <t>sensitive</t>
        </is>
      </c>
      <c r="C158" s="24" t="inlineStr">
        <is>
          <t>hash_sgd_f2</t>
        </is>
      </c>
      <c r="D158" s="24" t="inlineStr">
        <is>
          <t>openpii_pii_eval_38k</t>
        </is>
      </c>
      <c r="E158" t="inlineStr">
        <is>
          <t>T1</t>
        </is>
      </c>
      <c r="F158" s="25" t="n"/>
      <c r="G158" t="inlineStr">
        <is>
          <t>macro_f2</t>
        </is>
      </c>
      <c r="H158" s="26" t="n">
        <v>0.63899711824613</v>
      </c>
      <c r="I158" s="26" t="n"/>
      <c r="J158" s="26" t="n"/>
      <c r="M158" t="inlineStr"/>
      <c r="N158" t="inlineStr"/>
      <c r="O158" s="24" t="inlineStr"/>
    </row>
    <row r="159">
      <c r="A159" t="inlineStr">
        <is>
          <t>R7.22</t>
        </is>
      </c>
      <c r="B159" t="inlineStr">
        <is>
          <t>sensitive</t>
        </is>
      </c>
      <c r="C159" s="24" t="inlineStr">
        <is>
          <t>hash_sgd_f2</t>
        </is>
      </c>
      <c r="D159" s="24" t="inlineStr">
        <is>
          <t>openpii_pii_eval_38k</t>
        </is>
      </c>
      <c r="E159" t="inlineStr">
        <is>
          <t>T1</t>
        </is>
      </c>
      <c r="F159" s="25" t="n"/>
      <c r="G159" t="inlineStr">
        <is>
          <t>micro_f1</t>
        </is>
      </c>
      <c r="H159" s="26" t="n">
        <v>0.7459693859749684</v>
      </c>
      <c r="I159" s="26" t="n"/>
      <c r="J159" s="26" t="n"/>
      <c r="M159" t="inlineStr"/>
      <c r="N159" t="inlineStr">
        <is>
          <t>yes</t>
        </is>
      </c>
      <c r="O159" s="24" t="inlineStr"/>
    </row>
    <row r="160">
      <c r="A160" t="inlineStr">
        <is>
          <t>R7.22</t>
        </is>
      </c>
      <c r="B160" t="inlineStr">
        <is>
          <t>sensitive</t>
        </is>
      </c>
      <c r="C160" s="24" t="inlineStr">
        <is>
          <t>hash_sgd_f2</t>
        </is>
      </c>
      <c r="D160" s="24" t="inlineStr">
        <is>
          <t>openpii_pii_eval_38k</t>
        </is>
      </c>
      <c r="E160" t="inlineStr">
        <is>
          <t>T1</t>
        </is>
      </c>
      <c r="F160" s="25" t="n"/>
      <c r="G160" t="inlineStr">
        <is>
          <t>priority_measurable</t>
        </is>
      </c>
      <c r="H160" s="26" t="n">
        <v>9</v>
      </c>
      <c r="I160" s="26" t="n"/>
      <c r="J160" s="26" t="n"/>
      <c r="M160" t="inlineStr"/>
      <c r="N160" t="inlineStr"/>
      <c r="O160" s="24" t="inlineStr"/>
    </row>
    <row r="161">
      <c r="A161" t="inlineStr">
        <is>
          <t>R7.22</t>
        </is>
      </c>
      <c r="B161" t="inlineStr">
        <is>
          <t>sensitive</t>
        </is>
      </c>
      <c r="C161" s="24" t="inlineStr">
        <is>
          <t>hash_sgd_f2</t>
        </is>
      </c>
      <c r="D161" s="24" t="inlineStr">
        <is>
          <t>openpii_pii_eval_38k</t>
        </is>
      </c>
      <c r="E161" t="inlineStr">
        <is>
          <t>T1</t>
        </is>
      </c>
      <c r="F161" s="25" t="n"/>
      <c r="G161" t="inlineStr">
        <is>
          <t>priority_point_passes</t>
        </is>
      </c>
      <c r="H161" s="26" t="n">
        <v>8</v>
      </c>
      <c r="I161" s="26" t="n"/>
      <c r="J161" s="26" t="n"/>
      <c r="M161" t="inlineStr"/>
      <c r="N161" t="inlineStr"/>
      <c r="O161" s="24" t="inlineStr"/>
    </row>
    <row r="162">
      <c r="A162" t="inlineStr">
        <is>
          <t>R7.22</t>
        </is>
      </c>
      <c r="B162" t="inlineStr">
        <is>
          <t>sensitive</t>
        </is>
      </c>
      <c r="C162" s="24" t="inlineStr">
        <is>
          <t>hash_sgd_f2</t>
        </is>
      </c>
      <c r="D162" s="24" t="inlineStr">
        <is>
          <t>openpii_pii_eval_38k</t>
        </is>
      </c>
      <c r="E162" t="inlineStr">
        <is>
          <t>T1</t>
        </is>
      </c>
      <c r="F162" s="25" t="n"/>
      <c r="G162" t="inlineStr">
        <is>
          <t>worst_priority_recall</t>
        </is>
      </c>
      <c r="H162" s="26" t="n">
        <v>0.8963764337851929</v>
      </c>
      <c r="I162" s="26" t="n"/>
      <c r="J162" s="26" t="n"/>
      <c r="M162" t="inlineStr"/>
      <c r="N162" t="inlineStr"/>
      <c r="O162" s="24" t="inlineStr"/>
    </row>
    <row r="163">
      <c r="A163" t="inlineStr">
        <is>
          <t>R7.23</t>
        </is>
      </c>
      <c r="B163" t="inlineStr">
        <is>
          <t>sensitive</t>
        </is>
      </c>
      <c r="C163" s="24" t="inlineStr">
        <is>
          <t>hash_sgd_f2</t>
        </is>
      </c>
      <c r="D163" s="24" t="inlineStr">
        <is>
          <t>pii2_eval_30k</t>
        </is>
      </c>
      <c r="E163" t="inlineStr">
        <is>
          <t>T1</t>
        </is>
      </c>
      <c r="F163" s="25" t="n"/>
      <c r="G163" t="inlineStr">
        <is>
          <t>docs_per_s</t>
        </is>
      </c>
      <c r="H163" s="26" t="n">
        <v>5779.564911378779</v>
      </c>
      <c r="I163" s="26" t="n"/>
      <c r="J163" s="26" t="n"/>
      <c r="M163" t="inlineStr"/>
      <c r="N163" t="inlineStr"/>
      <c r="O163" s="24" t="inlineStr"/>
    </row>
    <row r="164">
      <c r="A164" t="inlineStr">
        <is>
          <t>R7.23</t>
        </is>
      </c>
      <c r="B164" t="inlineStr">
        <is>
          <t>sensitive</t>
        </is>
      </c>
      <c r="C164" s="24" t="inlineStr">
        <is>
          <t>hash_sgd_f2</t>
        </is>
      </c>
      <c r="D164" s="24" t="inlineStr">
        <is>
          <t>pii2_eval_30k</t>
        </is>
      </c>
      <c r="E164" t="inlineStr">
        <is>
          <t>T1</t>
        </is>
      </c>
      <c r="F164" s="25" t="n"/>
      <c r="G164" t="inlineStr">
        <is>
          <t>macro_f2</t>
        </is>
      </c>
      <c r="H164" s="26" t="n">
        <v>0.4494762356346536</v>
      </c>
      <c r="I164" s="26" t="n"/>
      <c r="J164" s="26" t="n"/>
      <c r="M164" t="inlineStr"/>
      <c r="N164" t="inlineStr"/>
      <c r="O164" s="24" t="inlineStr"/>
    </row>
    <row r="165">
      <c r="A165" t="inlineStr">
        <is>
          <t>R7.23</t>
        </is>
      </c>
      <c r="B165" t="inlineStr">
        <is>
          <t>sensitive</t>
        </is>
      </c>
      <c r="C165" s="24" t="inlineStr">
        <is>
          <t>hash_sgd_f2</t>
        </is>
      </c>
      <c r="D165" s="24" t="inlineStr">
        <is>
          <t>pii2_eval_30k</t>
        </is>
      </c>
      <c r="E165" t="inlineStr">
        <is>
          <t>T1</t>
        </is>
      </c>
      <c r="F165" s="25" t="n"/>
      <c r="G165" t="inlineStr">
        <is>
          <t>micro_f1</t>
        </is>
      </c>
      <c r="H165" s="26" t="n">
        <v>0.2741660961408432</v>
      </c>
      <c r="I165" s="26" t="n"/>
      <c r="J165" s="26" t="n"/>
      <c r="M165" t="inlineStr"/>
      <c r="N165" t="inlineStr">
        <is>
          <t>yes</t>
        </is>
      </c>
      <c r="O165" s="24" t="inlineStr"/>
    </row>
    <row r="166">
      <c r="A166" t="inlineStr">
        <is>
          <t>R7.23</t>
        </is>
      </c>
      <c r="B166" t="inlineStr">
        <is>
          <t>sensitive</t>
        </is>
      </c>
      <c r="C166" s="24" t="inlineStr">
        <is>
          <t>hash_sgd_f2</t>
        </is>
      </c>
      <c r="D166" s="24" t="inlineStr">
        <is>
          <t>pii2_eval_30k</t>
        </is>
      </c>
      <c r="E166" t="inlineStr">
        <is>
          <t>T1</t>
        </is>
      </c>
      <c r="F166" s="25" t="n"/>
      <c r="G166" t="inlineStr">
        <is>
          <t>priority_measurable</t>
        </is>
      </c>
      <c r="H166" s="26" t="n">
        <v>15</v>
      </c>
      <c r="I166" s="26" t="n"/>
      <c r="J166" s="26" t="n"/>
      <c r="M166" t="inlineStr"/>
      <c r="N166" t="inlineStr"/>
      <c r="O166" s="24" t="inlineStr"/>
    </row>
    <row r="167">
      <c r="A167" t="inlineStr">
        <is>
          <t>R7.23</t>
        </is>
      </c>
      <c r="B167" t="inlineStr">
        <is>
          <t>sensitive</t>
        </is>
      </c>
      <c r="C167" s="24" t="inlineStr">
        <is>
          <t>hash_sgd_f2</t>
        </is>
      </c>
      <c r="D167" s="24" t="inlineStr">
        <is>
          <t>pii2_eval_30k</t>
        </is>
      </c>
      <c r="E167" t="inlineStr">
        <is>
          <t>T1</t>
        </is>
      </c>
      <c r="F167" s="25" t="n"/>
      <c r="G167" t="inlineStr">
        <is>
          <t>priority_point_passes</t>
        </is>
      </c>
      <c r="H167" s="26" t="n">
        <v>15</v>
      </c>
      <c r="I167" s="26" t="n"/>
      <c r="J167" s="26" t="n"/>
      <c r="M167" t="inlineStr"/>
      <c r="N167" t="inlineStr"/>
      <c r="O167" s="24" t="inlineStr"/>
    </row>
    <row r="168">
      <c r="A168" t="inlineStr">
        <is>
          <t>R7.23</t>
        </is>
      </c>
      <c r="B168" t="inlineStr">
        <is>
          <t>sensitive</t>
        </is>
      </c>
      <c r="C168" s="24" t="inlineStr">
        <is>
          <t>hash_sgd_f2</t>
        </is>
      </c>
      <c r="D168" s="24" t="inlineStr">
        <is>
          <t>pii2_eval_30k</t>
        </is>
      </c>
      <c r="E168" t="inlineStr">
        <is>
          <t>T1</t>
        </is>
      </c>
      <c r="F168" s="25" t="n"/>
      <c r="G168" t="inlineStr">
        <is>
          <t>worst_priority_recall</t>
        </is>
      </c>
      <c r="H168" s="26" t="n">
        <v>0.9968354430379747</v>
      </c>
      <c r="I168" s="26" t="n"/>
      <c r="J168" s="26" t="n"/>
      <c r="M168" t="inlineStr"/>
      <c r="N168" t="inlineStr"/>
      <c r="O168" s="24" t="inlineStr"/>
    </row>
    <row r="169">
      <c r="A169" t="inlineStr">
        <is>
          <t>R7.24</t>
        </is>
      </c>
      <c r="B169" t="inlineStr">
        <is>
          <t>sensitive</t>
        </is>
      </c>
      <c r="C169" s="24" t="inlineStr">
        <is>
          <t>hash_sgd_f2</t>
        </is>
      </c>
      <c r="D169" s="24" t="inlineStr">
        <is>
          <t>pii_holdout_20k</t>
        </is>
      </c>
      <c r="E169" t="inlineStr">
        <is>
          <t>T1</t>
        </is>
      </c>
      <c r="F169" s="25" t="n"/>
      <c r="G169" t="inlineStr">
        <is>
          <t>docs_per_s</t>
        </is>
      </c>
      <c r="H169" s="26" t="n">
        <v>6696.567602179761</v>
      </c>
      <c r="I169" s="26" t="n"/>
      <c r="J169" s="26" t="n"/>
      <c r="M169" t="inlineStr"/>
      <c r="N169" t="inlineStr"/>
      <c r="O169" s="24" t="inlineStr"/>
    </row>
    <row r="170">
      <c r="A170" t="inlineStr">
        <is>
          <t>R7.24</t>
        </is>
      </c>
      <c r="B170" t="inlineStr">
        <is>
          <t>sensitive</t>
        </is>
      </c>
      <c r="C170" s="24" t="inlineStr">
        <is>
          <t>hash_sgd_f2</t>
        </is>
      </c>
      <c r="D170" s="24" t="inlineStr">
        <is>
          <t>pii_holdout_20k</t>
        </is>
      </c>
      <c r="E170" t="inlineStr">
        <is>
          <t>T1</t>
        </is>
      </c>
      <c r="F170" s="25" t="n"/>
      <c r="G170" t="inlineStr">
        <is>
          <t>macro_f2</t>
        </is>
      </c>
      <c r="H170" s="26" t="n">
        <v>0.5757076258393298</v>
      </c>
      <c r="I170" s="26" t="n"/>
      <c r="J170" s="26" t="n"/>
      <c r="M170" t="inlineStr"/>
      <c r="N170" t="inlineStr"/>
      <c r="O170" s="24" t="inlineStr"/>
    </row>
    <row r="171">
      <c r="A171" t="inlineStr">
        <is>
          <t>R7.24</t>
        </is>
      </c>
      <c r="B171" t="inlineStr">
        <is>
          <t>sensitive</t>
        </is>
      </c>
      <c r="C171" s="24" t="inlineStr">
        <is>
          <t>hash_sgd_f2</t>
        </is>
      </c>
      <c r="D171" s="24" t="inlineStr">
        <is>
          <t>pii_holdout_20k</t>
        </is>
      </c>
      <c r="E171" t="inlineStr">
        <is>
          <t>T1</t>
        </is>
      </c>
      <c r="F171" s="25" t="n"/>
      <c r="G171" t="inlineStr">
        <is>
          <t>micro_f1</t>
        </is>
      </c>
      <c r="H171" s="26" t="n">
        <v>0.5435147098484977</v>
      </c>
      <c r="I171" s="26" t="n"/>
      <c r="J171" s="26" t="n"/>
      <c r="M171" t="inlineStr"/>
      <c r="N171" t="inlineStr">
        <is>
          <t>yes</t>
        </is>
      </c>
      <c r="O171" s="24" t="inlineStr"/>
    </row>
    <row r="172">
      <c r="A172" t="inlineStr">
        <is>
          <t>R7.24</t>
        </is>
      </c>
      <c r="B172" t="inlineStr">
        <is>
          <t>sensitive</t>
        </is>
      </c>
      <c r="C172" s="24" t="inlineStr">
        <is>
          <t>hash_sgd_f2</t>
        </is>
      </c>
      <c r="D172" s="24" t="inlineStr">
        <is>
          <t>pii_holdout_20k</t>
        </is>
      </c>
      <c r="E172" t="inlineStr">
        <is>
          <t>T1</t>
        </is>
      </c>
      <c r="F172" s="25" t="n"/>
      <c r="G172" t="inlineStr">
        <is>
          <t>priority_measurable</t>
        </is>
      </c>
      <c r="H172" s="26" t="n">
        <v>14</v>
      </c>
      <c r="I172" s="26" t="n"/>
      <c r="J172" s="26" t="n"/>
      <c r="M172" t="inlineStr"/>
      <c r="N172" t="inlineStr"/>
      <c r="O172" s="24" t="inlineStr"/>
    </row>
    <row r="173">
      <c r="A173" t="inlineStr">
        <is>
          <t>R7.24</t>
        </is>
      </c>
      <c r="B173" t="inlineStr">
        <is>
          <t>sensitive</t>
        </is>
      </c>
      <c r="C173" s="24" t="inlineStr">
        <is>
          <t>hash_sgd_f2</t>
        </is>
      </c>
      <c r="D173" s="24" t="inlineStr">
        <is>
          <t>pii_holdout_20k</t>
        </is>
      </c>
      <c r="E173" t="inlineStr">
        <is>
          <t>T1</t>
        </is>
      </c>
      <c r="F173" s="25" t="n"/>
      <c r="G173" t="inlineStr">
        <is>
          <t>priority_point_passes</t>
        </is>
      </c>
      <c r="H173" s="26" t="n">
        <v>14</v>
      </c>
      <c r="I173" s="26" t="n"/>
      <c r="J173" s="26" t="n"/>
      <c r="M173" t="inlineStr"/>
      <c r="N173" t="inlineStr"/>
      <c r="O173" s="24" t="inlineStr"/>
    </row>
    <row r="174">
      <c r="A174" t="inlineStr">
        <is>
          <t>R7.24</t>
        </is>
      </c>
      <c r="B174" t="inlineStr">
        <is>
          <t>sensitive</t>
        </is>
      </c>
      <c r="C174" s="24" t="inlineStr">
        <is>
          <t>hash_sgd_f2</t>
        </is>
      </c>
      <c r="D174" s="24" t="inlineStr">
        <is>
          <t>pii_holdout_20k</t>
        </is>
      </c>
      <c r="E174" t="inlineStr">
        <is>
          <t>T1</t>
        </is>
      </c>
      <c r="F174" s="25" t="n"/>
      <c r="G174" t="inlineStr">
        <is>
          <t>worst_priority_recall</t>
        </is>
      </c>
      <c r="H174" s="26" t="n">
        <v>0.903954802259887</v>
      </c>
      <c r="I174" s="26" t="n"/>
      <c r="J174" s="26" t="n"/>
      <c r="M174" t="inlineStr"/>
      <c r="N174" t="inlineStr"/>
      <c r="O174" s="24" t="inlineStr"/>
    </row>
    <row r="175">
      <c r="A175" t="inlineStr">
        <is>
          <t>R7.25</t>
        </is>
      </c>
      <c r="B175" t="inlineStr">
        <is>
          <t>sensitive</t>
        </is>
      </c>
      <c r="C175" s="24" t="inlineStr">
        <is>
          <t>hybrid_priority_001</t>
        </is>
      </c>
      <c r="D175" s="24" t="inlineStr">
        <is>
          <t>4000_datax-dualjudge-evalset-1.32k</t>
        </is>
      </c>
      <c r="E175" t="inlineStr">
        <is>
          <t>T1</t>
        </is>
      </c>
      <c r="F175" s="25" t="n"/>
      <c r="G175" t="inlineStr">
        <is>
          <t>docs_per_s</t>
        </is>
      </c>
      <c r="H175" s="26" t="n">
        <v>1698.602497045009</v>
      </c>
      <c r="I175" s="26" t="n"/>
      <c r="J175" s="26" t="n"/>
      <c r="M175" t="inlineStr"/>
      <c r="N175" t="inlineStr"/>
      <c r="O175" s="24" t="inlineStr"/>
    </row>
    <row r="176">
      <c r="A176" t="inlineStr">
        <is>
          <t>R7.25</t>
        </is>
      </c>
      <c r="B176" t="inlineStr">
        <is>
          <t>sensitive</t>
        </is>
      </c>
      <c r="C176" s="24" t="inlineStr">
        <is>
          <t>hybrid_priority_001</t>
        </is>
      </c>
      <c r="D176" s="24" t="inlineStr">
        <is>
          <t>4000_datax-dualjudge-evalset-1.32k</t>
        </is>
      </c>
      <c r="E176" t="inlineStr">
        <is>
          <t>T1</t>
        </is>
      </c>
      <c r="F176" s="25" t="n"/>
      <c r="G176" t="inlineStr">
        <is>
          <t>macro_f2</t>
        </is>
      </c>
      <c r="H176" s="26" t="n"/>
      <c r="I176" s="26" t="n"/>
      <c r="J176" s="26" t="n"/>
      <c r="M176" t="inlineStr"/>
      <c r="N176" t="inlineStr"/>
      <c r="O176" s="24" t="inlineStr"/>
    </row>
    <row r="177">
      <c r="A177" t="inlineStr">
        <is>
          <t>R7.25</t>
        </is>
      </c>
      <c r="B177" t="inlineStr">
        <is>
          <t>sensitive</t>
        </is>
      </c>
      <c r="C177" s="24" t="inlineStr">
        <is>
          <t>hybrid_priority_001</t>
        </is>
      </c>
      <c r="D177" s="24" t="inlineStr">
        <is>
          <t>4000_datax-dualjudge-evalset-1.32k</t>
        </is>
      </c>
      <c r="E177" t="inlineStr">
        <is>
          <t>T1</t>
        </is>
      </c>
      <c r="F177" s="25" t="n"/>
      <c r="G177" t="inlineStr">
        <is>
          <t>micro_f1</t>
        </is>
      </c>
      <c r="H177" s="26" t="n"/>
      <c r="I177" s="26" t="n"/>
      <c r="J177" s="26" t="n"/>
      <c r="M177" t="inlineStr"/>
      <c r="N177" t="inlineStr"/>
      <c r="O177" s="24" t="inlineStr"/>
    </row>
    <row r="178">
      <c r="A178" t="inlineStr">
        <is>
          <t>R7.25</t>
        </is>
      </c>
      <c r="B178" t="inlineStr">
        <is>
          <t>sensitive</t>
        </is>
      </c>
      <c r="C178" s="24" t="inlineStr">
        <is>
          <t>hybrid_priority_001</t>
        </is>
      </c>
      <c r="D178" s="24" t="inlineStr">
        <is>
          <t>4000_datax-dualjudge-evalset-1.32k</t>
        </is>
      </c>
      <c r="E178" t="inlineStr">
        <is>
          <t>T1</t>
        </is>
      </c>
      <c r="F178" s="25" t="n"/>
      <c r="G178" t="inlineStr">
        <is>
          <t>priority_measurable</t>
        </is>
      </c>
      <c r="H178" s="26" t="n">
        <v>1</v>
      </c>
      <c r="I178" s="26" t="n"/>
      <c r="J178" s="26" t="n"/>
      <c r="M178" t="inlineStr"/>
      <c r="N178" t="inlineStr"/>
      <c r="O178" s="24" t="inlineStr"/>
    </row>
    <row r="179">
      <c r="A179" t="inlineStr">
        <is>
          <t>R7.25</t>
        </is>
      </c>
      <c r="B179" t="inlineStr">
        <is>
          <t>sensitive</t>
        </is>
      </c>
      <c r="C179" s="24" t="inlineStr">
        <is>
          <t>hybrid_priority_001</t>
        </is>
      </c>
      <c r="D179" s="24" t="inlineStr">
        <is>
          <t>4000_datax-dualjudge-evalset-1.32k</t>
        </is>
      </c>
      <c r="E179" t="inlineStr">
        <is>
          <t>T1</t>
        </is>
      </c>
      <c r="F179" s="25" t="n"/>
      <c r="G179" t="inlineStr">
        <is>
          <t>priority_point_passes</t>
        </is>
      </c>
      <c r="H179" s="26" t="n">
        <v>1</v>
      </c>
      <c r="I179" s="26" t="n"/>
      <c r="J179" s="26" t="n"/>
      <c r="M179" t="inlineStr"/>
      <c r="N179" t="inlineStr"/>
      <c r="O179" s="24" t="inlineStr"/>
    </row>
    <row r="180">
      <c r="A180" t="inlineStr">
        <is>
          <t>R7.25</t>
        </is>
      </c>
      <c r="B180" t="inlineStr">
        <is>
          <t>sensitive</t>
        </is>
      </c>
      <c r="C180" s="24" t="inlineStr">
        <is>
          <t>hybrid_priority_001</t>
        </is>
      </c>
      <c r="D180" s="24" t="inlineStr">
        <is>
          <t>4000_datax-dualjudge-evalset-1.32k</t>
        </is>
      </c>
      <c r="E180" t="inlineStr">
        <is>
          <t>T1</t>
        </is>
      </c>
      <c r="F180" s="25" t="n"/>
      <c r="G180" t="inlineStr">
        <is>
          <t>worst_priority_recall</t>
        </is>
      </c>
      <c r="H180" s="26" t="n">
        <v>1</v>
      </c>
      <c r="I180" s="26" t="n"/>
      <c r="J180" s="26" t="n"/>
      <c r="M180" t="inlineStr"/>
      <c r="N180" t="inlineStr"/>
      <c r="O180" s="24" t="inlineStr"/>
    </row>
    <row r="181">
      <c r="A181" t="inlineStr">
        <is>
          <t>R7.26</t>
        </is>
      </c>
      <c r="B181" t="inlineStr">
        <is>
          <t>sensitive</t>
        </is>
      </c>
      <c r="C181" s="24" t="inlineStr">
        <is>
          <t>hybrid_priority_001</t>
        </is>
      </c>
      <c r="D181" s="24" t="inlineStr">
        <is>
          <t>6589_govdocs2-dualjudge-eval20-3.53k</t>
        </is>
      </c>
      <c r="E181" t="inlineStr">
        <is>
          <t>T1</t>
        </is>
      </c>
      <c r="F181" s="25" t="n"/>
      <c r="G181" t="inlineStr">
        <is>
          <t>docs_per_s</t>
        </is>
      </c>
      <c r="H181" s="26" t="n">
        <v>1378.134836585614</v>
      </c>
      <c r="I181" s="26" t="n"/>
      <c r="J181" s="26" t="n"/>
      <c r="M181" t="inlineStr"/>
      <c r="N181" t="inlineStr"/>
      <c r="O181" s="24" t="inlineStr"/>
    </row>
    <row r="182">
      <c r="A182" t="inlineStr">
        <is>
          <t>R7.26</t>
        </is>
      </c>
      <c r="B182" t="inlineStr">
        <is>
          <t>sensitive</t>
        </is>
      </c>
      <c r="C182" s="24" t="inlineStr">
        <is>
          <t>hybrid_priority_001</t>
        </is>
      </c>
      <c r="D182" s="24" t="inlineStr">
        <is>
          <t>6589_govdocs2-dualjudge-eval20-3.53k</t>
        </is>
      </c>
      <c r="E182" t="inlineStr">
        <is>
          <t>T1</t>
        </is>
      </c>
      <c r="F182" s="25" t="n"/>
      <c r="G182" t="inlineStr">
        <is>
          <t>macro_f2</t>
        </is>
      </c>
      <c r="H182" s="26" t="n"/>
      <c r="I182" s="26" t="n"/>
      <c r="J182" s="26" t="n"/>
      <c r="M182" t="inlineStr"/>
      <c r="N182" t="inlineStr"/>
      <c r="O182" s="24" t="inlineStr"/>
    </row>
    <row r="183">
      <c r="A183" t="inlineStr">
        <is>
          <t>R7.26</t>
        </is>
      </c>
      <c r="B183" t="inlineStr">
        <is>
          <t>sensitive</t>
        </is>
      </c>
      <c r="C183" s="24" t="inlineStr">
        <is>
          <t>hybrid_priority_001</t>
        </is>
      </c>
      <c r="D183" s="24" t="inlineStr">
        <is>
          <t>6589_govdocs2-dualjudge-eval20-3.53k</t>
        </is>
      </c>
      <c r="E183" t="inlineStr">
        <is>
          <t>T1</t>
        </is>
      </c>
      <c r="F183" s="25" t="n"/>
      <c r="G183" t="inlineStr">
        <is>
          <t>micro_f1</t>
        </is>
      </c>
      <c r="H183" s="26" t="n"/>
      <c r="I183" s="26" t="n"/>
      <c r="J183" s="26" t="n"/>
      <c r="M183" t="inlineStr"/>
      <c r="N183" t="inlineStr"/>
      <c r="O183" s="24" t="inlineStr"/>
    </row>
    <row r="184">
      <c r="A184" t="inlineStr">
        <is>
          <t>R7.26</t>
        </is>
      </c>
      <c r="B184" t="inlineStr">
        <is>
          <t>sensitive</t>
        </is>
      </c>
      <c r="C184" s="24" t="inlineStr">
        <is>
          <t>hybrid_priority_001</t>
        </is>
      </c>
      <c r="D184" s="24" t="inlineStr">
        <is>
          <t>6589_govdocs2-dualjudge-eval20-3.53k</t>
        </is>
      </c>
      <c r="E184" t="inlineStr">
        <is>
          <t>T1</t>
        </is>
      </c>
      <c r="F184" s="25" t="n"/>
      <c r="G184" t="inlineStr">
        <is>
          <t>priority_measurable</t>
        </is>
      </c>
      <c r="H184" s="26" t="n">
        <v>2</v>
      </c>
      <c r="I184" s="26" t="n"/>
      <c r="J184" s="26" t="n"/>
      <c r="M184" t="inlineStr"/>
      <c r="N184" t="inlineStr"/>
      <c r="O184" s="24" t="inlineStr"/>
    </row>
    <row r="185">
      <c r="A185" t="inlineStr">
        <is>
          <t>R7.26</t>
        </is>
      </c>
      <c r="B185" t="inlineStr">
        <is>
          <t>sensitive</t>
        </is>
      </c>
      <c r="C185" s="24" t="inlineStr">
        <is>
          <t>hybrid_priority_001</t>
        </is>
      </c>
      <c r="D185" s="24" t="inlineStr">
        <is>
          <t>6589_govdocs2-dualjudge-eval20-3.53k</t>
        </is>
      </c>
      <c r="E185" t="inlineStr">
        <is>
          <t>T1</t>
        </is>
      </c>
      <c r="F185" s="25" t="n"/>
      <c r="G185" t="inlineStr">
        <is>
          <t>priority_point_passes</t>
        </is>
      </c>
      <c r="H185" s="26" t="n">
        <v>2</v>
      </c>
      <c r="I185" s="26" t="n"/>
      <c r="J185" s="26" t="n"/>
      <c r="M185" t="inlineStr"/>
      <c r="N185" t="inlineStr"/>
      <c r="O185" s="24" t="inlineStr"/>
    </row>
    <row r="186">
      <c r="A186" t="inlineStr">
        <is>
          <t>R7.26</t>
        </is>
      </c>
      <c r="B186" t="inlineStr">
        <is>
          <t>sensitive</t>
        </is>
      </c>
      <c r="C186" s="24" t="inlineStr">
        <is>
          <t>hybrid_priority_001</t>
        </is>
      </c>
      <c r="D186" s="24" t="inlineStr">
        <is>
          <t>6589_govdocs2-dualjudge-eval20-3.53k</t>
        </is>
      </c>
      <c r="E186" t="inlineStr">
        <is>
          <t>T1</t>
        </is>
      </c>
      <c r="F186" s="25" t="n"/>
      <c r="G186" t="inlineStr">
        <is>
          <t>worst_priority_recall</t>
        </is>
      </c>
      <c r="H186" s="26" t="n">
        <v>0.9966329966329966</v>
      </c>
      <c r="I186" s="26" t="n"/>
      <c r="J186" s="26" t="n"/>
      <c r="M186" t="inlineStr"/>
      <c r="N186" t="inlineStr"/>
      <c r="O186" s="24" t="inlineStr"/>
    </row>
    <row r="187">
      <c r="A187" t="inlineStr">
        <is>
          <t>R7.27</t>
        </is>
      </c>
      <c r="B187" t="inlineStr">
        <is>
          <t>sensitive</t>
        </is>
      </c>
      <c r="C187" s="24" t="inlineStr">
        <is>
          <t>hybrid_priority_001</t>
        </is>
      </c>
      <c r="D187" s="24" t="inlineStr">
        <is>
          <t>ai4privacy_pii_masking_eval_10k</t>
        </is>
      </c>
      <c r="E187" t="inlineStr">
        <is>
          <t>T1</t>
        </is>
      </c>
      <c r="F187" s="25" t="n"/>
      <c r="G187" t="inlineStr">
        <is>
          <t>docs_per_s</t>
        </is>
      </c>
      <c r="H187" s="26" t="n">
        <v>32768.26789756476</v>
      </c>
      <c r="I187" s="26" t="n"/>
      <c r="J187" s="26" t="n"/>
      <c r="M187" t="inlineStr"/>
      <c r="N187" t="inlineStr"/>
      <c r="O187" s="24" t="inlineStr"/>
    </row>
    <row r="188">
      <c r="A188" t="inlineStr">
        <is>
          <t>R7.27</t>
        </is>
      </c>
      <c r="B188" t="inlineStr">
        <is>
          <t>sensitive</t>
        </is>
      </c>
      <c r="C188" s="24" t="inlineStr">
        <is>
          <t>hybrid_priority_001</t>
        </is>
      </c>
      <c r="D188" s="24" t="inlineStr">
        <is>
          <t>ai4privacy_pii_masking_eval_10k</t>
        </is>
      </c>
      <c r="E188" t="inlineStr">
        <is>
          <t>T1</t>
        </is>
      </c>
      <c r="F188" s="25" t="n"/>
      <c r="G188" t="inlineStr">
        <is>
          <t>macro_f2</t>
        </is>
      </c>
      <c r="H188" s="26" t="n">
        <v>0.47750068217468</v>
      </c>
      <c r="I188" s="26" t="n"/>
      <c r="J188" s="26" t="n"/>
      <c r="M188" t="inlineStr"/>
      <c r="N188" t="inlineStr"/>
      <c r="O188" s="24" t="inlineStr"/>
    </row>
    <row r="189">
      <c r="A189" t="inlineStr">
        <is>
          <t>R7.27</t>
        </is>
      </c>
      <c r="B189" t="inlineStr">
        <is>
          <t>sensitive</t>
        </is>
      </c>
      <c r="C189" s="24" t="inlineStr">
        <is>
          <t>hybrid_priority_001</t>
        </is>
      </c>
      <c r="D189" s="24" t="inlineStr">
        <is>
          <t>ai4privacy_pii_masking_eval_10k</t>
        </is>
      </c>
      <c r="E189" t="inlineStr">
        <is>
          <t>T1</t>
        </is>
      </c>
      <c r="F189" s="25" t="n"/>
      <c r="G189" t="inlineStr">
        <is>
          <t>micro_f1</t>
        </is>
      </c>
      <c r="H189" s="26" t="n">
        <v>0.3455133823231983</v>
      </c>
      <c r="I189" s="26" t="n"/>
      <c r="J189" s="26" t="n"/>
      <c r="M189" t="inlineStr"/>
      <c r="N189" t="inlineStr">
        <is>
          <t>yes</t>
        </is>
      </c>
      <c r="O189" s="24" t="inlineStr"/>
    </row>
    <row r="190">
      <c r="A190" t="inlineStr">
        <is>
          <t>R7.27</t>
        </is>
      </c>
      <c r="B190" t="inlineStr">
        <is>
          <t>sensitive</t>
        </is>
      </c>
      <c r="C190" s="24" t="inlineStr">
        <is>
          <t>hybrid_priority_001</t>
        </is>
      </c>
      <c r="D190" s="24" t="inlineStr">
        <is>
          <t>ai4privacy_pii_masking_eval_10k</t>
        </is>
      </c>
      <c r="E190" t="inlineStr">
        <is>
          <t>T1</t>
        </is>
      </c>
      <c r="F190" s="25" t="n"/>
      <c r="G190" t="inlineStr">
        <is>
          <t>priority_measurable</t>
        </is>
      </c>
      <c r="H190" s="26" t="n">
        <v>10</v>
      </c>
      <c r="I190" s="26" t="n"/>
      <c r="J190" s="26" t="n"/>
      <c r="M190" t="inlineStr"/>
      <c r="N190" t="inlineStr"/>
      <c r="O190" s="24" t="inlineStr"/>
    </row>
    <row r="191">
      <c r="A191" t="inlineStr">
        <is>
          <t>R7.27</t>
        </is>
      </c>
      <c r="B191" t="inlineStr">
        <is>
          <t>sensitive</t>
        </is>
      </c>
      <c r="C191" s="24" t="inlineStr">
        <is>
          <t>hybrid_priority_001</t>
        </is>
      </c>
      <c r="D191" s="24" t="inlineStr">
        <is>
          <t>ai4privacy_pii_masking_eval_10k</t>
        </is>
      </c>
      <c r="E191" t="inlineStr">
        <is>
          <t>T1</t>
        </is>
      </c>
      <c r="F191" s="25" t="n"/>
      <c r="G191" t="inlineStr">
        <is>
          <t>priority_point_passes</t>
        </is>
      </c>
      <c r="H191" s="26" t="n">
        <v>10</v>
      </c>
      <c r="I191" s="26" t="n"/>
      <c r="J191" s="26" t="n"/>
      <c r="M191" t="inlineStr"/>
      <c r="N191" t="inlineStr"/>
      <c r="O191" s="24" t="inlineStr"/>
    </row>
    <row r="192">
      <c r="A192" t="inlineStr">
        <is>
          <t>R7.27</t>
        </is>
      </c>
      <c r="B192" t="inlineStr">
        <is>
          <t>sensitive</t>
        </is>
      </c>
      <c r="C192" s="24" t="inlineStr">
        <is>
          <t>hybrid_priority_001</t>
        </is>
      </c>
      <c r="D192" s="24" t="inlineStr">
        <is>
          <t>ai4privacy_pii_masking_eval_10k</t>
        </is>
      </c>
      <c r="E192" t="inlineStr">
        <is>
          <t>T1</t>
        </is>
      </c>
      <c r="F192" s="25" t="n"/>
      <c r="G192" t="inlineStr">
        <is>
          <t>worst_priority_recall</t>
        </is>
      </c>
      <c r="H192" s="26" t="n">
        <v>0.9990925589836661</v>
      </c>
      <c r="I192" s="26" t="n"/>
      <c r="J192" s="26" t="n"/>
      <c r="M192" t="inlineStr"/>
      <c r="N192" t="inlineStr"/>
      <c r="O192" s="24" t="inlineStr"/>
    </row>
    <row r="193">
      <c r="A193" t="inlineStr">
        <is>
          <t>R7.28</t>
        </is>
      </c>
      <c r="B193" t="inlineStr">
        <is>
          <t>sensitive</t>
        </is>
      </c>
      <c r="C193" s="24" t="inlineStr">
        <is>
          <t>hybrid_priority_001</t>
        </is>
      </c>
      <c r="D193" s="24" t="inlineStr">
        <is>
          <t>betterdataai_ner_silver_eval_10k</t>
        </is>
      </c>
      <c r="E193" t="inlineStr">
        <is>
          <t>T1</t>
        </is>
      </c>
      <c r="F193" s="25" t="n"/>
      <c r="G193" t="inlineStr">
        <is>
          <t>docs_per_s</t>
        </is>
      </c>
      <c r="H193" s="26" t="n">
        <v>24652.25888829611</v>
      </c>
      <c r="I193" s="26" t="n"/>
      <c r="J193" s="26" t="n"/>
      <c r="M193" t="inlineStr"/>
      <c r="N193" t="inlineStr"/>
      <c r="O193" s="24" t="inlineStr"/>
    </row>
    <row r="194">
      <c r="A194" t="inlineStr">
        <is>
          <t>R7.28</t>
        </is>
      </c>
      <c r="B194" t="inlineStr">
        <is>
          <t>sensitive</t>
        </is>
      </c>
      <c r="C194" s="24" t="inlineStr">
        <is>
          <t>hybrid_priority_001</t>
        </is>
      </c>
      <c r="D194" s="24" t="inlineStr">
        <is>
          <t>betterdataai_ner_silver_eval_10k</t>
        </is>
      </c>
      <c r="E194" t="inlineStr">
        <is>
          <t>T1</t>
        </is>
      </c>
      <c r="F194" s="25" t="n"/>
      <c r="G194" t="inlineStr">
        <is>
          <t>macro_f2</t>
        </is>
      </c>
      <c r="H194" s="26" t="n">
        <v>0.2093139895360607</v>
      </c>
      <c r="I194" s="26" t="n"/>
      <c r="J194" s="26" t="n"/>
      <c r="M194" t="inlineStr"/>
      <c r="N194" t="inlineStr"/>
      <c r="O194" s="24" t="inlineStr"/>
    </row>
    <row r="195">
      <c r="A195" t="inlineStr">
        <is>
          <t>R7.28</t>
        </is>
      </c>
      <c r="B195" t="inlineStr">
        <is>
          <t>sensitive</t>
        </is>
      </c>
      <c r="C195" s="24" t="inlineStr">
        <is>
          <t>hybrid_priority_001</t>
        </is>
      </c>
      <c r="D195" s="24" t="inlineStr">
        <is>
          <t>betterdataai_ner_silver_eval_10k</t>
        </is>
      </c>
      <c r="E195" t="inlineStr">
        <is>
          <t>T1</t>
        </is>
      </c>
      <c r="F195" s="25" t="n"/>
      <c r="G195" t="inlineStr">
        <is>
          <t>micro_f1</t>
        </is>
      </c>
      <c r="H195" s="26" t="n">
        <v>0.2010023740437879</v>
      </c>
      <c r="I195" s="26" t="n"/>
      <c r="J195" s="26" t="n"/>
      <c r="M195" t="inlineStr"/>
      <c r="N195" t="inlineStr">
        <is>
          <t>yes</t>
        </is>
      </c>
      <c r="O195" s="24" t="inlineStr"/>
    </row>
    <row r="196">
      <c r="A196" t="inlineStr">
        <is>
          <t>R7.28</t>
        </is>
      </c>
      <c r="B196" t="inlineStr">
        <is>
          <t>sensitive</t>
        </is>
      </c>
      <c r="C196" s="24" t="inlineStr">
        <is>
          <t>hybrid_priority_001</t>
        </is>
      </c>
      <c r="D196" s="24" t="inlineStr">
        <is>
          <t>betterdataai_ner_silver_eval_10k</t>
        </is>
      </c>
      <c r="E196" t="inlineStr">
        <is>
          <t>T1</t>
        </is>
      </c>
      <c r="F196" s="25" t="n"/>
      <c r="G196" t="inlineStr">
        <is>
          <t>priority_measurable</t>
        </is>
      </c>
      <c r="H196" s="26" t="n">
        <v>4</v>
      </c>
      <c r="I196" s="26" t="n"/>
      <c r="J196" s="26" t="n"/>
      <c r="M196" t="inlineStr"/>
      <c r="N196" t="inlineStr"/>
      <c r="O196" s="24" t="inlineStr"/>
    </row>
    <row r="197">
      <c r="A197" t="inlineStr">
        <is>
          <t>R7.28</t>
        </is>
      </c>
      <c r="B197" t="inlineStr">
        <is>
          <t>sensitive</t>
        </is>
      </c>
      <c r="C197" s="24" t="inlineStr">
        <is>
          <t>hybrid_priority_001</t>
        </is>
      </c>
      <c r="D197" s="24" t="inlineStr">
        <is>
          <t>betterdataai_ner_silver_eval_10k</t>
        </is>
      </c>
      <c r="E197" t="inlineStr">
        <is>
          <t>T1</t>
        </is>
      </c>
      <c r="F197" s="25" t="n"/>
      <c r="G197" t="inlineStr">
        <is>
          <t>priority_point_passes</t>
        </is>
      </c>
      <c r="H197" s="26" t="n">
        <v>4</v>
      </c>
      <c r="I197" s="26" t="n"/>
      <c r="J197" s="26" t="n"/>
      <c r="M197" t="inlineStr"/>
      <c r="N197" t="inlineStr"/>
      <c r="O197" s="24" t="inlineStr"/>
    </row>
    <row r="198">
      <c r="A198" t="inlineStr">
        <is>
          <t>R7.28</t>
        </is>
      </c>
      <c r="B198" t="inlineStr">
        <is>
          <t>sensitive</t>
        </is>
      </c>
      <c r="C198" s="24" t="inlineStr">
        <is>
          <t>hybrid_priority_001</t>
        </is>
      </c>
      <c r="D198" s="24" t="inlineStr">
        <is>
          <t>betterdataai_ner_silver_eval_10k</t>
        </is>
      </c>
      <c r="E198" t="inlineStr">
        <is>
          <t>T1</t>
        </is>
      </c>
      <c r="F198" s="25" t="n"/>
      <c r="G198" t="inlineStr">
        <is>
          <t>worst_priority_recall</t>
        </is>
      </c>
      <c r="H198" s="26" t="n">
        <v>1</v>
      </c>
      <c r="I198" s="26" t="n"/>
      <c r="J198" s="26" t="n"/>
      <c r="M198" t="inlineStr"/>
      <c r="N198" t="inlineStr"/>
      <c r="O198" s="24" t="inlineStr"/>
    </row>
    <row r="199">
      <c r="A199" t="inlineStr">
        <is>
          <t>R7.29</t>
        </is>
      </c>
      <c r="B199" t="inlineStr">
        <is>
          <t>sensitive</t>
        </is>
      </c>
      <c r="C199" s="24" t="inlineStr">
        <is>
          <t>hybrid_priority_001</t>
        </is>
      </c>
      <c r="D199" s="24" t="inlineStr">
        <is>
          <t>nemotron_eval_6k</t>
        </is>
      </c>
      <c r="E199" t="inlineStr">
        <is>
          <t>T1</t>
        </is>
      </c>
      <c r="F199" s="25" t="n"/>
      <c r="G199" t="inlineStr">
        <is>
          <t>docs_per_s</t>
        </is>
      </c>
      <c r="H199" s="26" t="n">
        <v>11613.9059139881</v>
      </c>
      <c r="I199" s="26" t="n"/>
      <c r="J199" s="26" t="n"/>
      <c r="M199" t="inlineStr"/>
      <c r="N199" t="inlineStr"/>
      <c r="O199" s="24" t="inlineStr"/>
    </row>
    <row r="200">
      <c r="A200" t="inlineStr">
        <is>
          <t>R7.29</t>
        </is>
      </c>
      <c r="B200" t="inlineStr">
        <is>
          <t>sensitive</t>
        </is>
      </c>
      <c r="C200" s="24" t="inlineStr">
        <is>
          <t>hybrid_priority_001</t>
        </is>
      </c>
      <c r="D200" s="24" t="inlineStr">
        <is>
          <t>nemotron_eval_6k</t>
        </is>
      </c>
      <c r="E200" t="inlineStr">
        <is>
          <t>T1</t>
        </is>
      </c>
      <c r="F200" s="25" t="n"/>
      <c r="G200" t="inlineStr">
        <is>
          <t>macro_f2</t>
        </is>
      </c>
      <c r="H200" s="26" t="n"/>
      <c r="I200" s="26" t="n"/>
      <c r="J200" s="26" t="n"/>
      <c r="M200" t="inlineStr"/>
      <c r="N200" t="inlineStr"/>
      <c r="O200" s="24" t="inlineStr"/>
    </row>
    <row r="201">
      <c r="A201" t="inlineStr">
        <is>
          <t>R7.29</t>
        </is>
      </c>
      <c r="B201" t="inlineStr">
        <is>
          <t>sensitive</t>
        </is>
      </c>
      <c r="C201" s="24" t="inlineStr">
        <is>
          <t>hybrid_priority_001</t>
        </is>
      </c>
      <c r="D201" s="24" t="inlineStr">
        <is>
          <t>nemotron_eval_6k</t>
        </is>
      </c>
      <c r="E201" t="inlineStr">
        <is>
          <t>T1</t>
        </is>
      </c>
      <c r="F201" s="25" t="n"/>
      <c r="G201" t="inlineStr">
        <is>
          <t>micro_f1</t>
        </is>
      </c>
      <c r="H201" s="26" t="n"/>
      <c r="I201" s="26" t="n"/>
      <c r="J201" s="26" t="n"/>
      <c r="M201" t="inlineStr"/>
      <c r="N201" t="inlineStr"/>
      <c r="O201" s="24" t="inlineStr"/>
    </row>
    <row r="202">
      <c r="A202" t="inlineStr">
        <is>
          <t>R7.29</t>
        </is>
      </c>
      <c r="B202" t="inlineStr">
        <is>
          <t>sensitive</t>
        </is>
      </c>
      <c r="C202" s="24" t="inlineStr">
        <is>
          <t>hybrid_priority_001</t>
        </is>
      </c>
      <c r="D202" s="24" t="inlineStr">
        <is>
          <t>nemotron_eval_6k</t>
        </is>
      </c>
      <c r="E202" t="inlineStr">
        <is>
          <t>T1</t>
        </is>
      </c>
      <c r="F202" s="25" t="n"/>
      <c r="G202" t="inlineStr">
        <is>
          <t>priority_measurable</t>
        </is>
      </c>
      <c r="H202" s="26" t="n">
        <v>0</v>
      </c>
      <c r="I202" s="26" t="n"/>
      <c r="J202" s="26" t="n"/>
      <c r="M202" t="inlineStr"/>
      <c r="N202" t="inlineStr"/>
      <c r="O202" s="24" t="inlineStr"/>
    </row>
    <row r="203">
      <c r="A203" t="inlineStr">
        <is>
          <t>R7.29</t>
        </is>
      </c>
      <c r="B203" t="inlineStr">
        <is>
          <t>sensitive</t>
        </is>
      </c>
      <c r="C203" s="24" t="inlineStr">
        <is>
          <t>hybrid_priority_001</t>
        </is>
      </c>
      <c r="D203" s="24" t="inlineStr">
        <is>
          <t>nemotron_eval_6k</t>
        </is>
      </c>
      <c r="E203" t="inlineStr">
        <is>
          <t>T1</t>
        </is>
      </c>
      <c r="F203" s="25" t="n"/>
      <c r="G203" t="inlineStr">
        <is>
          <t>priority_point_passes</t>
        </is>
      </c>
      <c r="H203" s="26" t="n">
        <v>0</v>
      </c>
      <c r="I203" s="26" t="n"/>
      <c r="J203" s="26" t="n"/>
      <c r="M203" t="inlineStr"/>
      <c r="N203" t="inlineStr"/>
      <c r="O203" s="24" t="inlineStr"/>
    </row>
    <row r="204">
      <c r="A204" t="inlineStr">
        <is>
          <t>R7.29</t>
        </is>
      </c>
      <c r="B204" t="inlineStr">
        <is>
          <t>sensitive</t>
        </is>
      </c>
      <c r="C204" s="24" t="inlineStr">
        <is>
          <t>hybrid_priority_001</t>
        </is>
      </c>
      <c r="D204" s="24" t="inlineStr">
        <is>
          <t>nemotron_eval_6k</t>
        </is>
      </c>
      <c r="E204" t="inlineStr">
        <is>
          <t>T1</t>
        </is>
      </c>
      <c r="F204" s="25" t="n"/>
      <c r="G204" t="inlineStr">
        <is>
          <t>worst_priority_recall</t>
        </is>
      </c>
      <c r="H204" s="26" t="n"/>
      <c r="I204" s="26" t="n"/>
      <c r="J204" s="26" t="n"/>
      <c r="M204" t="inlineStr"/>
      <c r="N204" t="inlineStr"/>
      <c r="O204" s="24" t="inlineStr"/>
    </row>
    <row r="205">
      <c r="A205" t="inlineStr">
        <is>
          <t>R7.30</t>
        </is>
      </c>
      <c r="B205" t="inlineStr">
        <is>
          <t>sensitive</t>
        </is>
      </c>
      <c r="C205" s="24" t="inlineStr">
        <is>
          <t>hybrid_priority_001</t>
        </is>
      </c>
      <c r="D205" s="24" t="inlineStr">
        <is>
          <t>openpii_pii_eval_38k</t>
        </is>
      </c>
      <c r="E205" t="inlineStr">
        <is>
          <t>T1</t>
        </is>
      </c>
      <c r="F205" s="25" t="n"/>
      <c r="G205" t="inlineStr">
        <is>
          <t>docs_per_s</t>
        </is>
      </c>
      <c r="H205" s="26" t="n">
        <v>22788.31070935941</v>
      </c>
      <c r="I205" s="26" t="n"/>
      <c r="J205" s="26" t="n"/>
      <c r="M205" t="inlineStr"/>
      <c r="N205" t="inlineStr"/>
      <c r="O205" s="24" t="inlineStr"/>
    </row>
    <row r="206">
      <c r="A206" t="inlineStr">
        <is>
          <t>R7.30</t>
        </is>
      </c>
      <c r="B206" t="inlineStr">
        <is>
          <t>sensitive</t>
        </is>
      </c>
      <c r="C206" s="24" t="inlineStr">
        <is>
          <t>hybrid_priority_001</t>
        </is>
      </c>
      <c r="D206" s="24" t="inlineStr">
        <is>
          <t>openpii_pii_eval_38k</t>
        </is>
      </c>
      <c r="E206" t="inlineStr">
        <is>
          <t>T1</t>
        </is>
      </c>
      <c r="F206" s="25" t="n"/>
      <c r="G206" t="inlineStr">
        <is>
          <t>macro_f2</t>
        </is>
      </c>
      <c r="H206" s="26" t="n">
        <v>0.6105419594869257</v>
      </c>
      <c r="I206" s="26" t="n"/>
      <c r="J206" s="26" t="n"/>
      <c r="M206" t="inlineStr"/>
      <c r="N206" t="inlineStr"/>
      <c r="O206" s="24" t="inlineStr"/>
    </row>
    <row r="207">
      <c r="A207" t="inlineStr">
        <is>
          <t>R7.30</t>
        </is>
      </c>
      <c r="B207" t="inlineStr">
        <is>
          <t>sensitive</t>
        </is>
      </c>
      <c r="C207" s="24" t="inlineStr">
        <is>
          <t>hybrid_priority_001</t>
        </is>
      </c>
      <c r="D207" s="24" t="inlineStr">
        <is>
          <t>openpii_pii_eval_38k</t>
        </is>
      </c>
      <c r="E207" t="inlineStr">
        <is>
          <t>T1</t>
        </is>
      </c>
      <c r="F207" s="25" t="n"/>
      <c r="G207" t="inlineStr">
        <is>
          <t>micro_f1</t>
        </is>
      </c>
      <c r="H207" s="26" t="n">
        <v>0.655087723543371</v>
      </c>
      <c r="I207" s="26" t="n"/>
      <c r="J207" s="26" t="n"/>
      <c r="M207" t="inlineStr"/>
      <c r="N207" t="inlineStr">
        <is>
          <t>yes</t>
        </is>
      </c>
      <c r="O207" s="24" t="inlineStr"/>
    </row>
    <row r="208">
      <c r="A208" t="inlineStr">
        <is>
          <t>R7.30</t>
        </is>
      </c>
      <c r="B208" t="inlineStr">
        <is>
          <t>sensitive</t>
        </is>
      </c>
      <c r="C208" s="24" t="inlineStr">
        <is>
          <t>hybrid_priority_001</t>
        </is>
      </c>
      <c r="D208" s="24" t="inlineStr">
        <is>
          <t>openpii_pii_eval_38k</t>
        </is>
      </c>
      <c r="E208" t="inlineStr">
        <is>
          <t>T1</t>
        </is>
      </c>
      <c r="F208" s="25" t="n"/>
      <c r="G208" t="inlineStr">
        <is>
          <t>priority_measurable</t>
        </is>
      </c>
      <c r="H208" s="26" t="n">
        <v>9</v>
      </c>
      <c r="I208" s="26" t="n"/>
      <c r="J208" s="26" t="n"/>
      <c r="M208" t="inlineStr"/>
      <c r="N208" t="inlineStr"/>
      <c r="O208" s="24" t="inlineStr"/>
    </row>
    <row r="209">
      <c r="A209" t="inlineStr">
        <is>
          <t>R7.30</t>
        </is>
      </c>
      <c r="B209" t="inlineStr">
        <is>
          <t>sensitive</t>
        </is>
      </c>
      <c r="C209" s="24" t="inlineStr">
        <is>
          <t>hybrid_priority_001</t>
        </is>
      </c>
      <c r="D209" s="24" t="inlineStr">
        <is>
          <t>openpii_pii_eval_38k</t>
        </is>
      </c>
      <c r="E209" t="inlineStr">
        <is>
          <t>T1</t>
        </is>
      </c>
      <c r="F209" s="25" t="n"/>
      <c r="G209" t="inlineStr">
        <is>
          <t>priority_point_passes</t>
        </is>
      </c>
      <c r="H209" s="26" t="n">
        <v>9</v>
      </c>
      <c r="I209" s="26" t="n"/>
      <c r="J209" s="26" t="n"/>
      <c r="M209" t="inlineStr"/>
      <c r="N209" t="inlineStr"/>
      <c r="O209" s="24" t="inlineStr"/>
    </row>
    <row r="210">
      <c r="A210" t="inlineStr">
        <is>
          <t>R7.30</t>
        </is>
      </c>
      <c r="B210" t="inlineStr">
        <is>
          <t>sensitive</t>
        </is>
      </c>
      <c r="C210" s="24" t="inlineStr">
        <is>
          <t>hybrid_priority_001</t>
        </is>
      </c>
      <c r="D210" s="24" t="inlineStr">
        <is>
          <t>openpii_pii_eval_38k</t>
        </is>
      </c>
      <c r="E210" t="inlineStr">
        <is>
          <t>T1</t>
        </is>
      </c>
      <c r="F210" s="25" t="n"/>
      <c r="G210" t="inlineStr">
        <is>
          <t>worst_priority_recall</t>
        </is>
      </c>
      <c r="H210" s="26" t="n">
        <v>0.9997093656906197</v>
      </c>
      <c r="I210" s="26" t="n"/>
      <c r="J210" s="26" t="n"/>
      <c r="M210" t="inlineStr"/>
      <c r="N210" t="inlineStr"/>
      <c r="O210" s="24" t="inlineStr"/>
    </row>
    <row r="211">
      <c r="A211" t="inlineStr">
        <is>
          <t>R7.31</t>
        </is>
      </c>
      <c r="B211" t="inlineStr">
        <is>
          <t>sensitive</t>
        </is>
      </c>
      <c r="C211" s="24" t="inlineStr">
        <is>
          <t>hybrid_priority_001</t>
        </is>
      </c>
      <c r="D211" s="24" t="inlineStr">
        <is>
          <t>pii2_eval_30k</t>
        </is>
      </c>
      <c r="E211" t="inlineStr">
        <is>
          <t>T1</t>
        </is>
      </c>
      <c r="F211" s="25" t="n"/>
      <c r="G211" t="inlineStr">
        <is>
          <t>docs_per_s</t>
        </is>
      </c>
      <c r="H211" s="26" t="n">
        <v>2485.622238599324</v>
      </c>
      <c r="I211" s="26" t="n"/>
      <c r="J211" s="26" t="n"/>
      <c r="M211" t="inlineStr"/>
      <c r="N211" t="inlineStr"/>
      <c r="O211" s="24" t="inlineStr"/>
    </row>
    <row r="212">
      <c r="A212" t="inlineStr">
        <is>
          <t>R7.31</t>
        </is>
      </c>
      <c r="B212" t="inlineStr">
        <is>
          <t>sensitive</t>
        </is>
      </c>
      <c r="C212" s="24" t="inlineStr">
        <is>
          <t>hybrid_priority_001</t>
        </is>
      </c>
      <c r="D212" s="24" t="inlineStr">
        <is>
          <t>pii2_eval_30k</t>
        </is>
      </c>
      <c r="E212" t="inlineStr">
        <is>
          <t>T1</t>
        </is>
      </c>
      <c r="F212" s="25" t="n"/>
      <c r="G212" t="inlineStr">
        <is>
          <t>macro_f2</t>
        </is>
      </c>
      <c r="H212" s="26" t="n">
        <v>0.4069594705030601</v>
      </c>
      <c r="I212" s="26" t="n"/>
      <c r="J212" s="26" t="n"/>
      <c r="M212" t="inlineStr"/>
      <c r="N212" t="inlineStr"/>
      <c r="O212" s="24" t="inlineStr"/>
    </row>
    <row r="213">
      <c r="A213" t="inlineStr">
        <is>
          <t>R7.31</t>
        </is>
      </c>
      <c r="B213" t="inlineStr">
        <is>
          <t>sensitive</t>
        </is>
      </c>
      <c r="C213" s="24" t="inlineStr">
        <is>
          <t>hybrid_priority_001</t>
        </is>
      </c>
      <c r="D213" s="24" t="inlineStr">
        <is>
          <t>pii2_eval_30k</t>
        </is>
      </c>
      <c r="E213" t="inlineStr">
        <is>
          <t>T1</t>
        </is>
      </c>
      <c r="F213" s="25" t="n"/>
      <c r="G213" t="inlineStr">
        <is>
          <t>micro_f1</t>
        </is>
      </c>
      <c r="H213" s="26" t="n">
        <v>0.1773906461265047</v>
      </c>
      <c r="I213" s="26" t="n"/>
      <c r="J213" s="26" t="n"/>
      <c r="M213" t="inlineStr"/>
      <c r="N213" t="inlineStr">
        <is>
          <t>yes</t>
        </is>
      </c>
      <c r="O213" s="24" t="inlineStr"/>
    </row>
    <row r="214">
      <c r="A214" t="inlineStr">
        <is>
          <t>R7.31</t>
        </is>
      </c>
      <c r="B214" t="inlineStr">
        <is>
          <t>sensitive</t>
        </is>
      </c>
      <c r="C214" s="24" t="inlineStr">
        <is>
          <t>hybrid_priority_001</t>
        </is>
      </c>
      <c r="D214" s="24" t="inlineStr">
        <is>
          <t>pii2_eval_30k</t>
        </is>
      </c>
      <c r="E214" t="inlineStr">
        <is>
          <t>T1</t>
        </is>
      </c>
      <c r="F214" s="25" t="n"/>
      <c r="G214" t="inlineStr">
        <is>
          <t>priority_measurable</t>
        </is>
      </c>
      <c r="H214" s="26" t="n">
        <v>15</v>
      </c>
      <c r="I214" s="26" t="n"/>
      <c r="J214" s="26" t="n"/>
      <c r="M214" t="inlineStr"/>
      <c r="N214" t="inlineStr"/>
      <c r="O214" s="24" t="inlineStr"/>
    </row>
    <row r="215">
      <c r="A215" t="inlineStr">
        <is>
          <t>R7.31</t>
        </is>
      </c>
      <c r="B215" t="inlineStr">
        <is>
          <t>sensitive</t>
        </is>
      </c>
      <c r="C215" s="24" t="inlineStr">
        <is>
          <t>hybrid_priority_001</t>
        </is>
      </c>
      <c r="D215" s="24" t="inlineStr">
        <is>
          <t>pii2_eval_30k</t>
        </is>
      </c>
      <c r="E215" t="inlineStr">
        <is>
          <t>T1</t>
        </is>
      </c>
      <c r="F215" s="25" t="n"/>
      <c r="G215" t="inlineStr">
        <is>
          <t>priority_point_passes</t>
        </is>
      </c>
      <c r="H215" s="26" t="n">
        <v>15</v>
      </c>
      <c r="I215" s="26" t="n"/>
      <c r="J215" s="26" t="n"/>
      <c r="M215" t="inlineStr"/>
      <c r="N215" t="inlineStr"/>
      <c r="O215" s="24" t="inlineStr"/>
    </row>
    <row r="216">
      <c r="A216" t="inlineStr">
        <is>
          <t>R7.31</t>
        </is>
      </c>
      <c r="B216" t="inlineStr">
        <is>
          <t>sensitive</t>
        </is>
      </c>
      <c r="C216" s="24" t="inlineStr">
        <is>
          <t>hybrid_priority_001</t>
        </is>
      </c>
      <c r="D216" s="24" t="inlineStr">
        <is>
          <t>pii2_eval_30k</t>
        </is>
      </c>
      <c r="E216" t="inlineStr">
        <is>
          <t>T1</t>
        </is>
      </c>
      <c r="F216" s="25" t="n"/>
      <c r="G216" t="inlineStr">
        <is>
          <t>worst_priority_recall</t>
        </is>
      </c>
      <c r="H216" s="26" t="n">
        <v>1</v>
      </c>
      <c r="I216" s="26" t="n"/>
      <c r="J216" s="26" t="n"/>
      <c r="M216" t="inlineStr"/>
      <c r="N216" t="inlineStr"/>
      <c r="O216" s="24" t="inlineStr"/>
    </row>
    <row r="217">
      <c r="A217" t="inlineStr">
        <is>
          <t>R7.32</t>
        </is>
      </c>
      <c r="B217" t="inlineStr">
        <is>
          <t>sensitive</t>
        </is>
      </c>
      <c r="C217" s="24" t="inlineStr">
        <is>
          <t>hybrid_priority_001</t>
        </is>
      </c>
      <c r="D217" s="24" t="inlineStr">
        <is>
          <t>pii_holdout_20k</t>
        </is>
      </c>
      <c r="E217" t="inlineStr">
        <is>
          <t>T1</t>
        </is>
      </c>
      <c r="F217" s="25" t="n"/>
      <c r="G217" t="inlineStr">
        <is>
          <t>docs_per_s</t>
        </is>
      </c>
      <c r="H217" s="26" t="n">
        <v>3285.685151960368</v>
      </c>
      <c r="I217" s="26" t="n"/>
      <c r="J217" s="26" t="n"/>
      <c r="M217" t="inlineStr"/>
      <c r="N217" t="inlineStr"/>
      <c r="O217" s="24" t="inlineStr"/>
    </row>
    <row r="218">
      <c r="A218" t="inlineStr">
        <is>
          <t>R7.32</t>
        </is>
      </c>
      <c r="B218" t="inlineStr">
        <is>
          <t>sensitive</t>
        </is>
      </c>
      <c r="C218" s="24" t="inlineStr">
        <is>
          <t>hybrid_priority_001</t>
        </is>
      </c>
      <c r="D218" s="24" t="inlineStr">
        <is>
          <t>pii_holdout_20k</t>
        </is>
      </c>
      <c r="E218" t="inlineStr">
        <is>
          <t>T1</t>
        </is>
      </c>
      <c r="F218" s="25" t="n"/>
      <c r="G218" t="inlineStr">
        <is>
          <t>macro_f2</t>
        </is>
      </c>
      <c r="H218" s="26" t="n">
        <v>0.5289234844167493</v>
      </c>
      <c r="I218" s="26" t="n"/>
      <c r="J218" s="26" t="n"/>
      <c r="M218" t="inlineStr"/>
      <c r="N218" t="inlineStr"/>
      <c r="O218" s="24" t="inlineStr"/>
    </row>
    <row r="219">
      <c r="A219" t="inlineStr">
        <is>
          <t>R7.32</t>
        </is>
      </c>
      <c r="B219" t="inlineStr">
        <is>
          <t>sensitive</t>
        </is>
      </c>
      <c r="C219" s="24" t="inlineStr">
        <is>
          <t>hybrid_priority_001</t>
        </is>
      </c>
      <c r="D219" s="24" t="inlineStr">
        <is>
          <t>pii_holdout_20k</t>
        </is>
      </c>
      <c r="E219" t="inlineStr">
        <is>
          <t>T1</t>
        </is>
      </c>
      <c r="F219" s="25" t="n"/>
      <c r="G219" t="inlineStr">
        <is>
          <t>micro_f1</t>
        </is>
      </c>
      <c r="H219" s="26" t="n">
        <v>0.4380537483864411</v>
      </c>
      <c r="I219" s="26" t="n"/>
      <c r="J219" s="26" t="n"/>
      <c r="M219" t="inlineStr"/>
      <c r="N219" t="inlineStr">
        <is>
          <t>yes</t>
        </is>
      </c>
      <c r="O219" s="24" t="inlineStr"/>
    </row>
    <row r="220">
      <c r="A220" t="inlineStr">
        <is>
          <t>R7.32</t>
        </is>
      </c>
      <c r="B220" t="inlineStr">
        <is>
          <t>sensitive</t>
        </is>
      </c>
      <c r="C220" s="24" t="inlineStr">
        <is>
          <t>hybrid_priority_001</t>
        </is>
      </c>
      <c r="D220" s="24" t="inlineStr">
        <is>
          <t>pii_holdout_20k</t>
        </is>
      </c>
      <c r="E220" t="inlineStr">
        <is>
          <t>T1</t>
        </is>
      </c>
      <c r="F220" s="25" t="n"/>
      <c r="G220" t="inlineStr">
        <is>
          <t>priority_measurable</t>
        </is>
      </c>
      <c r="H220" s="26" t="n">
        <v>14</v>
      </c>
      <c r="I220" s="26" t="n"/>
      <c r="J220" s="26" t="n"/>
      <c r="M220" t="inlineStr"/>
      <c r="N220" t="inlineStr"/>
      <c r="O220" s="24" t="inlineStr"/>
    </row>
    <row r="221">
      <c r="A221" t="inlineStr">
        <is>
          <t>R7.32</t>
        </is>
      </c>
      <c r="B221" t="inlineStr">
        <is>
          <t>sensitive</t>
        </is>
      </c>
      <c r="C221" s="24" t="inlineStr">
        <is>
          <t>hybrid_priority_001</t>
        </is>
      </c>
      <c r="D221" s="24" t="inlineStr">
        <is>
          <t>pii_holdout_20k</t>
        </is>
      </c>
      <c r="E221" t="inlineStr">
        <is>
          <t>T1</t>
        </is>
      </c>
      <c r="F221" s="25" t="n"/>
      <c r="G221" t="inlineStr">
        <is>
          <t>priority_point_passes</t>
        </is>
      </c>
      <c r="H221" s="26" t="n">
        <v>14</v>
      </c>
      <c r="I221" s="26" t="n"/>
      <c r="J221" s="26" t="n"/>
      <c r="M221" t="inlineStr"/>
      <c r="N221" t="inlineStr"/>
      <c r="O221" s="24" t="inlineStr"/>
    </row>
    <row r="222">
      <c r="A222" t="inlineStr">
        <is>
          <t>R7.32</t>
        </is>
      </c>
      <c r="B222" t="inlineStr">
        <is>
          <t>sensitive</t>
        </is>
      </c>
      <c r="C222" s="24" t="inlineStr">
        <is>
          <t>hybrid_priority_001</t>
        </is>
      </c>
      <c r="D222" s="24" t="inlineStr">
        <is>
          <t>pii_holdout_20k</t>
        </is>
      </c>
      <c r="E222" t="inlineStr">
        <is>
          <t>T1</t>
        </is>
      </c>
      <c r="F222" s="25" t="n"/>
      <c r="G222" t="inlineStr">
        <is>
          <t>worst_priority_recall</t>
        </is>
      </c>
      <c r="H222" s="26" t="n">
        <v>1</v>
      </c>
      <c r="I222" s="26" t="n"/>
      <c r="J222" s="26" t="n"/>
      <c r="M222" t="inlineStr"/>
      <c r="N222" t="inlineStr"/>
      <c r="O222" s="24" t="inlineStr"/>
    </row>
    <row r="223">
      <c r="A223" t="inlineStr">
        <is>
          <t>R7.33</t>
        </is>
      </c>
      <c r="B223" t="inlineStr">
        <is>
          <t>sensitive</t>
        </is>
      </c>
      <c r="C223" s="24" t="inlineStr">
        <is>
          <t>tfidf_linear</t>
        </is>
      </c>
      <c r="D223" s="24" t="inlineStr">
        <is>
          <t>4000_datax-dualjudge-evalset-1.32k</t>
        </is>
      </c>
      <c r="E223" t="inlineStr">
        <is>
          <t>T1</t>
        </is>
      </c>
      <c r="F223" s="25" t="n"/>
      <c r="G223" t="inlineStr">
        <is>
          <t>docs_per_s</t>
        </is>
      </c>
      <c r="H223" s="26" t="n">
        <v>2814.578011969592</v>
      </c>
      <c r="I223" s="26" t="n"/>
      <c r="J223" s="26" t="n"/>
      <c r="M223" t="inlineStr"/>
      <c r="N223" t="inlineStr"/>
      <c r="O223" s="24" t="inlineStr"/>
    </row>
    <row r="224">
      <c r="A224" t="inlineStr">
        <is>
          <t>R7.33</t>
        </is>
      </c>
      <c r="B224" t="inlineStr">
        <is>
          <t>sensitive</t>
        </is>
      </c>
      <c r="C224" s="24" t="inlineStr">
        <is>
          <t>tfidf_linear</t>
        </is>
      </c>
      <c r="D224" s="24" t="inlineStr">
        <is>
          <t>4000_datax-dualjudge-evalset-1.32k</t>
        </is>
      </c>
      <c r="E224" t="inlineStr">
        <is>
          <t>T1</t>
        </is>
      </c>
      <c r="F224" s="25" t="n"/>
      <c r="G224" t="inlineStr">
        <is>
          <t>macro_f2</t>
        </is>
      </c>
      <c r="H224" s="26" t="n"/>
      <c r="I224" s="26" t="n"/>
      <c r="J224" s="26" t="n"/>
      <c r="M224" t="inlineStr"/>
      <c r="N224" t="inlineStr"/>
      <c r="O224" s="24" t="inlineStr"/>
    </row>
    <row r="225">
      <c r="A225" t="inlineStr">
        <is>
          <t>R7.33</t>
        </is>
      </c>
      <c r="B225" t="inlineStr">
        <is>
          <t>sensitive</t>
        </is>
      </c>
      <c r="C225" s="24" t="inlineStr">
        <is>
          <t>tfidf_linear</t>
        </is>
      </c>
      <c r="D225" s="24" t="inlineStr">
        <is>
          <t>4000_datax-dualjudge-evalset-1.32k</t>
        </is>
      </c>
      <c r="E225" t="inlineStr">
        <is>
          <t>T1</t>
        </is>
      </c>
      <c r="F225" s="25" t="n"/>
      <c r="G225" t="inlineStr">
        <is>
          <t>micro_f1</t>
        </is>
      </c>
      <c r="H225" s="26" t="n"/>
      <c r="I225" s="26" t="n"/>
      <c r="J225" s="26" t="n"/>
      <c r="M225" t="inlineStr"/>
      <c r="N225" t="inlineStr"/>
      <c r="O225" s="24" t="inlineStr"/>
    </row>
    <row r="226">
      <c r="A226" t="inlineStr">
        <is>
          <t>R7.33</t>
        </is>
      </c>
      <c r="B226" t="inlineStr">
        <is>
          <t>sensitive</t>
        </is>
      </c>
      <c r="C226" s="24" t="inlineStr">
        <is>
          <t>tfidf_linear</t>
        </is>
      </c>
      <c r="D226" s="24" t="inlineStr">
        <is>
          <t>4000_datax-dualjudge-evalset-1.32k</t>
        </is>
      </c>
      <c r="E226" t="inlineStr">
        <is>
          <t>T1</t>
        </is>
      </c>
      <c r="F226" s="25" t="n"/>
      <c r="G226" t="inlineStr">
        <is>
          <t>priority_measurable</t>
        </is>
      </c>
      <c r="H226" s="26" t="n">
        <v>1</v>
      </c>
      <c r="I226" s="26" t="n"/>
      <c r="J226" s="26" t="n"/>
      <c r="M226" t="inlineStr"/>
      <c r="N226" t="inlineStr"/>
      <c r="O226" s="24" t="inlineStr"/>
    </row>
    <row r="227">
      <c r="A227" t="inlineStr">
        <is>
          <t>R7.33</t>
        </is>
      </c>
      <c r="B227" t="inlineStr">
        <is>
          <t>sensitive</t>
        </is>
      </c>
      <c r="C227" s="24" t="inlineStr">
        <is>
          <t>tfidf_linear</t>
        </is>
      </c>
      <c r="D227" s="24" t="inlineStr">
        <is>
          <t>4000_datax-dualjudge-evalset-1.32k</t>
        </is>
      </c>
      <c r="E227" t="inlineStr">
        <is>
          <t>T1</t>
        </is>
      </c>
      <c r="F227" s="25" t="n"/>
      <c r="G227" t="inlineStr">
        <is>
          <t>priority_point_passes</t>
        </is>
      </c>
      <c r="H227" s="26" t="n">
        <v>1</v>
      </c>
      <c r="I227" s="26" t="n"/>
      <c r="J227" s="26" t="n"/>
      <c r="M227" t="inlineStr"/>
      <c r="N227" t="inlineStr"/>
      <c r="O227" s="24" t="inlineStr"/>
    </row>
    <row r="228">
      <c r="A228" t="inlineStr">
        <is>
          <t>R7.33</t>
        </is>
      </c>
      <c r="B228" t="inlineStr">
        <is>
          <t>sensitive</t>
        </is>
      </c>
      <c r="C228" s="24" t="inlineStr">
        <is>
          <t>tfidf_linear</t>
        </is>
      </c>
      <c r="D228" s="24" t="inlineStr">
        <is>
          <t>4000_datax-dualjudge-evalset-1.32k</t>
        </is>
      </c>
      <c r="E228" t="inlineStr">
        <is>
          <t>T1</t>
        </is>
      </c>
      <c r="F228" s="25" t="n"/>
      <c r="G228" t="inlineStr">
        <is>
          <t>worst_priority_recall</t>
        </is>
      </c>
      <c r="H228" s="26" t="n">
        <v>1</v>
      </c>
      <c r="I228" s="26" t="n"/>
      <c r="J228" s="26" t="n"/>
      <c r="M228" t="inlineStr"/>
      <c r="N228" t="inlineStr"/>
      <c r="O228" s="24" t="inlineStr"/>
    </row>
    <row r="229">
      <c r="A229" t="inlineStr">
        <is>
          <t>R7.34</t>
        </is>
      </c>
      <c r="B229" t="inlineStr">
        <is>
          <t>sensitive</t>
        </is>
      </c>
      <c r="C229" s="24" t="inlineStr">
        <is>
          <t>tfidf_linear</t>
        </is>
      </c>
      <c r="D229" s="24" t="inlineStr">
        <is>
          <t>6589_govdocs2-dualjudge-eval20-3.53k</t>
        </is>
      </c>
      <c r="E229" t="inlineStr">
        <is>
          <t>T1</t>
        </is>
      </c>
      <c r="F229" s="25" t="n"/>
      <c r="G229" t="inlineStr">
        <is>
          <t>docs_per_s</t>
        </is>
      </c>
      <c r="H229" s="26" t="n">
        <v>2382.847066310479</v>
      </c>
      <c r="I229" s="26" t="n"/>
      <c r="J229" s="26" t="n"/>
      <c r="M229" t="inlineStr"/>
      <c r="N229" t="inlineStr"/>
      <c r="O229" s="24" t="inlineStr"/>
    </row>
    <row r="230">
      <c r="A230" t="inlineStr">
        <is>
          <t>R7.34</t>
        </is>
      </c>
      <c r="B230" t="inlineStr">
        <is>
          <t>sensitive</t>
        </is>
      </c>
      <c r="C230" s="24" t="inlineStr">
        <is>
          <t>tfidf_linear</t>
        </is>
      </c>
      <c r="D230" s="24" t="inlineStr">
        <is>
          <t>6589_govdocs2-dualjudge-eval20-3.53k</t>
        </is>
      </c>
      <c r="E230" t="inlineStr">
        <is>
          <t>T1</t>
        </is>
      </c>
      <c r="F230" s="25" t="n"/>
      <c r="G230" t="inlineStr">
        <is>
          <t>macro_f2</t>
        </is>
      </c>
      <c r="H230" s="26" t="n"/>
      <c r="I230" s="26" t="n"/>
      <c r="J230" s="26" t="n"/>
      <c r="M230" t="inlineStr"/>
      <c r="N230" t="inlineStr"/>
      <c r="O230" s="24" t="inlineStr"/>
    </row>
    <row r="231">
      <c r="A231" t="inlineStr">
        <is>
          <t>R7.34</t>
        </is>
      </c>
      <c r="B231" t="inlineStr">
        <is>
          <t>sensitive</t>
        </is>
      </c>
      <c r="C231" s="24" t="inlineStr">
        <is>
          <t>tfidf_linear</t>
        </is>
      </c>
      <c r="D231" s="24" t="inlineStr">
        <is>
          <t>6589_govdocs2-dualjudge-eval20-3.53k</t>
        </is>
      </c>
      <c r="E231" t="inlineStr">
        <is>
          <t>T1</t>
        </is>
      </c>
      <c r="F231" s="25" t="n"/>
      <c r="G231" t="inlineStr">
        <is>
          <t>micro_f1</t>
        </is>
      </c>
      <c r="H231" s="26" t="n"/>
      <c r="I231" s="26" t="n"/>
      <c r="J231" s="26" t="n"/>
      <c r="M231" t="inlineStr"/>
      <c r="N231" t="inlineStr"/>
      <c r="O231" s="24" t="inlineStr"/>
    </row>
    <row r="232">
      <c r="A232" t="inlineStr">
        <is>
          <t>R7.34</t>
        </is>
      </c>
      <c r="B232" t="inlineStr">
        <is>
          <t>sensitive</t>
        </is>
      </c>
      <c r="C232" s="24" t="inlineStr">
        <is>
          <t>tfidf_linear</t>
        </is>
      </c>
      <c r="D232" s="24" t="inlineStr">
        <is>
          <t>6589_govdocs2-dualjudge-eval20-3.53k</t>
        </is>
      </c>
      <c r="E232" t="inlineStr">
        <is>
          <t>T1</t>
        </is>
      </c>
      <c r="F232" s="25" t="n"/>
      <c r="G232" t="inlineStr">
        <is>
          <t>priority_measurable</t>
        </is>
      </c>
      <c r="H232" s="26" t="n">
        <v>2</v>
      </c>
      <c r="I232" s="26" t="n"/>
      <c r="J232" s="26" t="n"/>
      <c r="M232" t="inlineStr"/>
      <c r="N232" t="inlineStr"/>
      <c r="O232" s="24" t="inlineStr"/>
    </row>
    <row r="233">
      <c r="A233" t="inlineStr">
        <is>
          <t>R7.34</t>
        </is>
      </c>
      <c r="B233" t="inlineStr">
        <is>
          <t>sensitive</t>
        </is>
      </c>
      <c r="C233" s="24" t="inlineStr">
        <is>
          <t>tfidf_linear</t>
        </is>
      </c>
      <c r="D233" s="24" t="inlineStr">
        <is>
          <t>6589_govdocs2-dualjudge-eval20-3.53k</t>
        </is>
      </c>
      <c r="E233" t="inlineStr">
        <is>
          <t>T1</t>
        </is>
      </c>
      <c r="F233" s="25" t="n"/>
      <c r="G233" t="inlineStr">
        <is>
          <t>priority_point_passes</t>
        </is>
      </c>
      <c r="H233" s="26" t="n">
        <v>2</v>
      </c>
      <c r="I233" s="26" t="n"/>
      <c r="J233" s="26" t="n"/>
      <c r="M233" t="inlineStr"/>
      <c r="N233" t="inlineStr"/>
      <c r="O233" s="24" t="inlineStr"/>
    </row>
    <row r="234">
      <c r="A234" t="inlineStr">
        <is>
          <t>R7.34</t>
        </is>
      </c>
      <c r="B234" t="inlineStr">
        <is>
          <t>sensitive</t>
        </is>
      </c>
      <c r="C234" s="24" t="inlineStr">
        <is>
          <t>tfidf_linear</t>
        </is>
      </c>
      <c r="D234" s="24" t="inlineStr">
        <is>
          <t>6589_govdocs2-dualjudge-eval20-3.53k</t>
        </is>
      </c>
      <c r="E234" t="inlineStr">
        <is>
          <t>T1</t>
        </is>
      </c>
      <c r="F234" s="25" t="n"/>
      <c r="G234" t="inlineStr">
        <is>
          <t>worst_priority_recall</t>
        </is>
      </c>
      <c r="H234" s="26" t="n">
        <v>0.9966329966329966</v>
      </c>
      <c r="I234" s="26" t="n"/>
      <c r="J234" s="26" t="n"/>
      <c r="M234" t="inlineStr"/>
      <c r="N234" t="inlineStr"/>
      <c r="O234" s="24" t="inlineStr"/>
    </row>
    <row r="235">
      <c r="A235" t="inlineStr">
        <is>
          <t>R7.35</t>
        </is>
      </c>
      <c r="B235" t="inlineStr">
        <is>
          <t>sensitive</t>
        </is>
      </c>
      <c r="C235" s="24" t="inlineStr">
        <is>
          <t>tfidf_linear</t>
        </is>
      </c>
      <c r="D235" s="24" t="inlineStr">
        <is>
          <t>ai4privacy_pii_masking_eval_10k</t>
        </is>
      </c>
      <c r="E235" t="inlineStr">
        <is>
          <t>T1</t>
        </is>
      </c>
      <c r="F235" s="25" t="n"/>
      <c r="G235" t="inlineStr">
        <is>
          <t>docs_per_s</t>
        </is>
      </c>
      <c r="H235" s="26" t="n">
        <v>63139.51487186338</v>
      </c>
      <c r="I235" s="26" t="n"/>
      <c r="J235" s="26" t="n"/>
      <c r="M235" t="inlineStr"/>
      <c r="N235" t="inlineStr"/>
      <c r="O235" s="24" t="inlineStr"/>
    </row>
    <row r="236">
      <c r="A236" t="inlineStr">
        <is>
          <t>R7.35</t>
        </is>
      </c>
      <c r="B236" t="inlineStr">
        <is>
          <t>sensitive</t>
        </is>
      </c>
      <c r="C236" s="24" t="inlineStr">
        <is>
          <t>tfidf_linear</t>
        </is>
      </c>
      <c r="D236" s="24" t="inlineStr">
        <is>
          <t>ai4privacy_pii_masking_eval_10k</t>
        </is>
      </c>
      <c r="E236" t="inlineStr">
        <is>
          <t>T1</t>
        </is>
      </c>
      <c r="F236" s="25" t="n"/>
      <c r="G236" t="inlineStr">
        <is>
          <t>macro_f2</t>
        </is>
      </c>
      <c r="H236" s="26" t="n">
        <v>0.555108776428248</v>
      </c>
      <c r="I236" s="26" t="n"/>
      <c r="J236" s="26" t="n"/>
      <c r="M236" t="inlineStr"/>
      <c r="N236" t="inlineStr"/>
      <c r="O236" s="24" t="inlineStr"/>
    </row>
    <row r="237">
      <c r="A237" t="inlineStr">
        <is>
          <t>R7.35</t>
        </is>
      </c>
      <c r="B237" t="inlineStr">
        <is>
          <t>sensitive</t>
        </is>
      </c>
      <c r="C237" s="24" t="inlineStr">
        <is>
          <t>tfidf_linear</t>
        </is>
      </c>
      <c r="D237" s="24" t="inlineStr">
        <is>
          <t>ai4privacy_pii_masking_eval_10k</t>
        </is>
      </c>
      <c r="E237" t="inlineStr">
        <is>
          <t>T1</t>
        </is>
      </c>
      <c r="F237" s="25" t="n"/>
      <c r="G237" t="inlineStr">
        <is>
          <t>micro_f1</t>
        </is>
      </c>
      <c r="H237" s="26" t="n">
        <v>0.4672268907563025</v>
      </c>
      <c r="I237" s="26" t="n"/>
      <c r="J237" s="26" t="n"/>
      <c r="M237" t="inlineStr"/>
      <c r="N237" t="inlineStr">
        <is>
          <t>yes</t>
        </is>
      </c>
      <c r="O237" s="24" t="inlineStr"/>
    </row>
    <row r="238">
      <c r="A238" t="inlineStr">
        <is>
          <t>R7.35</t>
        </is>
      </c>
      <c r="B238" t="inlineStr">
        <is>
          <t>sensitive</t>
        </is>
      </c>
      <c r="C238" s="24" t="inlineStr">
        <is>
          <t>tfidf_linear</t>
        </is>
      </c>
      <c r="D238" s="24" t="inlineStr">
        <is>
          <t>ai4privacy_pii_masking_eval_10k</t>
        </is>
      </c>
      <c r="E238" t="inlineStr">
        <is>
          <t>T1</t>
        </is>
      </c>
      <c r="F238" s="25" t="n"/>
      <c r="G238" t="inlineStr">
        <is>
          <t>priority_measurable</t>
        </is>
      </c>
      <c r="H238" s="26" t="n">
        <v>10</v>
      </c>
      <c r="I238" s="26" t="n"/>
      <c r="J238" s="26" t="n"/>
      <c r="M238" t="inlineStr"/>
      <c r="N238" t="inlineStr"/>
      <c r="O238" s="24" t="inlineStr"/>
    </row>
    <row r="239">
      <c r="A239" t="inlineStr">
        <is>
          <t>R7.35</t>
        </is>
      </c>
      <c r="B239" t="inlineStr">
        <is>
          <t>sensitive</t>
        </is>
      </c>
      <c r="C239" s="24" t="inlineStr">
        <is>
          <t>tfidf_linear</t>
        </is>
      </c>
      <c r="D239" s="24" t="inlineStr">
        <is>
          <t>ai4privacy_pii_masking_eval_10k</t>
        </is>
      </c>
      <c r="E239" t="inlineStr">
        <is>
          <t>T1</t>
        </is>
      </c>
      <c r="F239" s="25" t="n"/>
      <c r="G239" t="inlineStr">
        <is>
          <t>priority_point_passes</t>
        </is>
      </c>
      <c r="H239" s="26" t="n">
        <v>8</v>
      </c>
      <c r="I239" s="26" t="n"/>
      <c r="J239" s="26" t="n"/>
      <c r="M239" t="inlineStr"/>
      <c r="N239" t="inlineStr"/>
      <c r="O239" s="24" t="inlineStr"/>
    </row>
    <row r="240">
      <c r="A240" t="inlineStr">
        <is>
          <t>R7.35</t>
        </is>
      </c>
      <c r="B240" t="inlineStr">
        <is>
          <t>sensitive</t>
        </is>
      </c>
      <c r="C240" s="24" t="inlineStr">
        <is>
          <t>tfidf_linear</t>
        </is>
      </c>
      <c r="D240" s="24" t="inlineStr">
        <is>
          <t>ai4privacy_pii_masking_eval_10k</t>
        </is>
      </c>
      <c r="E240" t="inlineStr">
        <is>
          <t>T1</t>
        </is>
      </c>
      <c r="F240" s="25" t="n"/>
      <c r="G240" t="inlineStr">
        <is>
          <t>worst_priority_recall</t>
        </is>
      </c>
      <c r="H240" s="26" t="n">
        <v>0.8832391713747646</v>
      </c>
      <c r="I240" s="26" t="n"/>
      <c r="J240" s="26" t="n"/>
      <c r="M240" t="inlineStr"/>
      <c r="N240" t="inlineStr"/>
      <c r="O240" s="24" t="inlineStr"/>
    </row>
    <row r="241">
      <c r="A241" t="inlineStr">
        <is>
          <t>R7.36</t>
        </is>
      </c>
      <c r="B241" t="inlineStr">
        <is>
          <t>sensitive</t>
        </is>
      </c>
      <c r="C241" s="24" t="inlineStr">
        <is>
          <t>tfidf_linear</t>
        </is>
      </c>
      <c r="D241" s="24" t="inlineStr">
        <is>
          <t>betterdataai_ner_silver_eval_10k</t>
        </is>
      </c>
      <c r="E241" t="inlineStr">
        <is>
          <t>T1</t>
        </is>
      </c>
      <c r="F241" s="25" t="n"/>
      <c r="G241" t="inlineStr">
        <is>
          <t>docs_per_s</t>
        </is>
      </c>
      <c r="H241" s="26" t="n">
        <v>46310.35417503887</v>
      </c>
      <c r="I241" s="26" t="n"/>
      <c r="J241" s="26" t="n"/>
      <c r="M241" t="inlineStr"/>
      <c r="N241" t="inlineStr"/>
      <c r="O241" s="24" t="inlineStr"/>
    </row>
    <row r="242">
      <c r="A242" t="inlineStr">
        <is>
          <t>R7.36</t>
        </is>
      </c>
      <c r="B242" t="inlineStr">
        <is>
          <t>sensitive</t>
        </is>
      </c>
      <c r="C242" s="24" t="inlineStr">
        <is>
          <t>tfidf_linear</t>
        </is>
      </c>
      <c r="D242" s="24" t="inlineStr">
        <is>
          <t>betterdataai_ner_silver_eval_10k</t>
        </is>
      </c>
      <c r="E242" t="inlineStr">
        <is>
          <t>T1</t>
        </is>
      </c>
      <c r="F242" s="25" t="n"/>
      <c r="G242" t="inlineStr">
        <is>
          <t>macro_f2</t>
        </is>
      </c>
      <c r="H242" s="26" t="n">
        <v>0.230085640222034</v>
      </c>
      <c r="I242" s="26" t="n"/>
      <c r="J242" s="26" t="n"/>
      <c r="M242" t="inlineStr"/>
      <c r="N242" t="inlineStr"/>
      <c r="O242" s="24" t="inlineStr"/>
    </row>
    <row r="243">
      <c r="A243" t="inlineStr">
        <is>
          <t>R7.36</t>
        </is>
      </c>
      <c r="B243" t="inlineStr">
        <is>
          <t>sensitive</t>
        </is>
      </c>
      <c r="C243" s="24" t="inlineStr">
        <is>
          <t>tfidf_linear</t>
        </is>
      </c>
      <c r="D243" s="24" t="inlineStr">
        <is>
          <t>betterdataai_ner_silver_eval_10k</t>
        </is>
      </c>
      <c r="E243" t="inlineStr">
        <is>
          <t>T1</t>
        </is>
      </c>
      <c r="F243" s="25" t="n"/>
      <c r="G243" t="inlineStr">
        <is>
          <t>micro_f1</t>
        </is>
      </c>
      <c r="H243" s="26" t="n">
        <v>0.483831016925829</v>
      </c>
      <c r="I243" s="26" t="n"/>
      <c r="J243" s="26" t="n"/>
      <c r="M243" t="inlineStr"/>
      <c r="N243" t="inlineStr">
        <is>
          <t>yes</t>
        </is>
      </c>
      <c r="O243" s="24" t="inlineStr"/>
    </row>
    <row r="244">
      <c r="A244" t="inlineStr">
        <is>
          <t>R7.36</t>
        </is>
      </c>
      <c r="B244" t="inlineStr">
        <is>
          <t>sensitive</t>
        </is>
      </c>
      <c r="C244" s="24" t="inlineStr">
        <is>
          <t>tfidf_linear</t>
        </is>
      </c>
      <c r="D244" s="24" t="inlineStr">
        <is>
          <t>betterdataai_ner_silver_eval_10k</t>
        </is>
      </c>
      <c r="E244" t="inlineStr">
        <is>
          <t>T1</t>
        </is>
      </c>
      <c r="F244" s="25" t="n"/>
      <c r="G244" t="inlineStr">
        <is>
          <t>priority_measurable</t>
        </is>
      </c>
      <c r="H244" s="26" t="n">
        <v>4</v>
      </c>
      <c r="I244" s="26" t="n"/>
      <c r="J244" s="26" t="n"/>
      <c r="M244" t="inlineStr"/>
      <c r="N244" t="inlineStr"/>
      <c r="O244" s="24" t="inlineStr"/>
    </row>
    <row r="245">
      <c r="A245" t="inlineStr">
        <is>
          <t>R7.36</t>
        </is>
      </c>
      <c r="B245" t="inlineStr">
        <is>
          <t>sensitive</t>
        </is>
      </c>
      <c r="C245" s="24" t="inlineStr">
        <is>
          <t>tfidf_linear</t>
        </is>
      </c>
      <c r="D245" s="24" t="inlineStr">
        <is>
          <t>betterdataai_ner_silver_eval_10k</t>
        </is>
      </c>
      <c r="E245" t="inlineStr">
        <is>
          <t>T1</t>
        </is>
      </c>
      <c r="F245" s="25" t="n"/>
      <c r="G245" t="inlineStr">
        <is>
          <t>priority_point_passes</t>
        </is>
      </c>
      <c r="H245" s="26" t="n">
        <v>2</v>
      </c>
      <c r="I245" s="26" t="n"/>
      <c r="J245" s="26" t="n"/>
      <c r="M245" t="inlineStr"/>
      <c r="N245" t="inlineStr"/>
      <c r="O245" s="24" t="inlineStr"/>
    </row>
    <row r="246">
      <c r="A246" t="inlineStr">
        <is>
          <t>R7.36</t>
        </is>
      </c>
      <c r="B246" t="inlineStr">
        <is>
          <t>sensitive</t>
        </is>
      </c>
      <c r="C246" s="24" t="inlineStr">
        <is>
          <t>tfidf_linear</t>
        </is>
      </c>
      <c r="D246" s="24" t="inlineStr">
        <is>
          <t>betterdataai_ner_silver_eval_10k</t>
        </is>
      </c>
      <c r="E246" t="inlineStr">
        <is>
          <t>T1</t>
        </is>
      </c>
      <c r="F246" s="25" t="n"/>
      <c r="G246" t="inlineStr">
        <is>
          <t>worst_priority_recall</t>
        </is>
      </c>
      <c r="H246" s="26" t="n">
        <v>0.16</v>
      </c>
      <c r="I246" s="26" t="n"/>
      <c r="J246" s="26" t="n"/>
      <c r="M246" t="inlineStr"/>
      <c r="N246" t="inlineStr"/>
      <c r="O246" s="24" t="inlineStr"/>
    </row>
    <row r="247">
      <c r="A247" t="inlineStr">
        <is>
          <t>R7.37</t>
        </is>
      </c>
      <c r="B247" t="inlineStr">
        <is>
          <t>sensitive</t>
        </is>
      </c>
      <c r="C247" s="24" t="inlineStr">
        <is>
          <t>tfidf_linear</t>
        </is>
      </c>
      <c r="D247" s="24" t="inlineStr">
        <is>
          <t>nemotron_eval_6k</t>
        </is>
      </c>
      <c r="E247" t="inlineStr">
        <is>
          <t>T1</t>
        </is>
      </c>
      <c r="F247" s="25" t="n"/>
      <c r="G247" t="inlineStr">
        <is>
          <t>docs_per_s</t>
        </is>
      </c>
      <c r="H247" s="26" t="n">
        <v>22714.04911876455</v>
      </c>
      <c r="I247" s="26" t="n"/>
      <c r="J247" s="26" t="n"/>
      <c r="M247" t="inlineStr"/>
      <c r="N247" t="inlineStr"/>
      <c r="O247" s="24" t="inlineStr"/>
    </row>
    <row r="248">
      <c r="A248" t="inlineStr">
        <is>
          <t>R7.37</t>
        </is>
      </c>
      <c r="B248" t="inlineStr">
        <is>
          <t>sensitive</t>
        </is>
      </c>
      <c r="C248" s="24" t="inlineStr">
        <is>
          <t>tfidf_linear</t>
        </is>
      </c>
      <c r="D248" s="24" t="inlineStr">
        <is>
          <t>nemotron_eval_6k</t>
        </is>
      </c>
      <c r="E248" t="inlineStr">
        <is>
          <t>T1</t>
        </is>
      </c>
      <c r="F248" s="25" t="n"/>
      <c r="G248" t="inlineStr">
        <is>
          <t>macro_f2</t>
        </is>
      </c>
      <c r="H248" s="26" t="n"/>
      <c r="I248" s="26" t="n"/>
      <c r="J248" s="26" t="n"/>
      <c r="M248" t="inlineStr"/>
      <c r="N248" t="inlineStr"/>
      <c r="O248" s="24" t="inlineStr"/>
    </row>
    <row r="249">
      <c r="A249" t="inlineStr">
        <is>
          <t>R7.37</t>
        </is>
      </c>
      <c r="B249" t="inlineStr">
        <is>
          <t>sensitive</t>
        </is>
      </c>
      <c r="C249" s="24" t="inlineStr">
        <is>
          <t>tfidf_linear</t>
        </is>
      </c>
      <c r="D249" s="24" t="inlineStr">
        <is>
          <t>nemotron_eval_6k</t>
        </is>
      </c>
      <c r="E249" t="inlineStr">
        <is>
          <t>T1</t>
        </is>
      </c>
      <c r="F249" s="25" t="n"/>
      <c r="G249" t="inlineStr">
        <is>
          <t>micro_f1</t>
        </is>
      </c>
      <c r="H249" s="26" t="n"/>
      <c r="I249" s="26" t="n"/>
      <c r="J249" s="26" t="n"/>
      <c r="M249" t="inlineStr"/>
      <c r="N249" t="inlineStr"/>
      <c r="O249" s="24" t="inlineStr"/>
    </row>
    <row r="250">
      <c r="A250" t="inlineStr">
        <is>
          <t>R7.37</t>
        </is>
      </c>
      <c r="B250" t="inlineStr">
        <is>
          <t>sensitive</t>
        </is>
      </c>
      <c r="C250" s="24" t="inlineStr">
        <is>
          <t>tfidf_linear</t>
        </is>
      </c>
      <c r="D250" s="24" t="inlineStr">
        <is>
          <t>nemotron_eval_6k</t>
        </is>
      </c>
      <c r="E250" t="inlineStr">
        <is>
          <t>T1</t>
        </is>
      </c>
      <c r="F250" s="25" t="n"/>
      <c r="G250" t="inlineStr">
        <is>
          <t>priority_measurable</t>
        </is>
      </c>
      <c r="H250" s="26" t="n">
        <v>0</v>
      </c>
      <c r="I250" s="26" t="n"/>
      <c r="J250" s="26" t="n"/>
      <c r="M250" t="inlineStr"/>
      <c r="N250" t="inlineStr"/>
      <c r="O250" s="24" t="inlineStr"/>
    </row>
    <row r="251">
      <c r="A251" t="inlineStr">
        <is>
          <t>R7.37</t>
        </is>
      </c>
      <c r="B251" t="inlineStr">
        <is>
          <t>sensitive</t>
        </is>
      </c>
      <c r="C251" s="24" t="inlineStr">
        <is>
          <t>tfidf_linear</t>
        </is>
      </c>
      <c r="D251" s="24" t="inlineStr">
        <is>
          <t>nemotron_eval_6k</t>
        </is>
      </c>
      <c r="E251" t="inlineStr">
        <is>
          <t>T1</t>
        </is>
      </c>
      <c r="F251" s="25" t="n"/>
      <c r="G251" t="inlineStr">
        <is>
          <t>priority_point_passes</t>
        </is>
      </c>
      <c r="H251" s="26" t="n">
        <v>0</v>
      </c>
      <c r="I251" s="26" t="n"/>
      <c r="J251" s="26" t="n"/>
      <c r="M251" t="inlineStr"/>
      <c r="N251" t="inlineStr"/>
      <c r="O251" s="24" t="inlineStr"/>
    </row>
    <row r="252">
      <c r="A252" t="inlineStr">
        <is>
          <t>R7.37</t>
        </is>
      </c>
      <c r="B252" t="inlineStr">
        <is>
          <t>sensitive</t>
        </is>
      </c>
      <c r="C252" s="24" t="inlineStr">
        <is>
          <t>tfidf_linear</t>
        </is>
      </c>
      <c r="D252" s="24" t="inlineStr">
        <is>
          <t>nemotron_eval_6k</t>
        </is>
      </c>
      <c r="E252" t="inlineStr">
        <is>
          <t>T1</t>
        </is>
      </c>
      <c r="F252" s="25" t="n"/>
      <c r="G252" t="inlineStr">
        <is>
          <t>worst_priority_recall</t>
        </is>
      </c>
      <c r="H252" s="26" t="n"/>
      <c r="I252" s="26" t="n"/>
      <c r="J252" s="26" t="n"/>
      <c r="M252" t="inlineStr"/>
      <c r="N252" t="inlineStr"/>
      <c r="O252" s="24" t="inlineStr"/>
    </row>
    <row r="253">
      <c r="A253" t="inlineStr">
        <is>
          <t>R7.38</t>
        </is>
      </c>
      <c r="B253" t="inlineStr">
        <is>
          <t>sensitive</t>
        </is>
      </c>
      <c r="C253" s="24" t="inlineStr">
        <is>
          <t>tfidf_linear</t>
        </is>
      </c>
      <c r="D253" s="24" t="inlineStr">
        <is>
          <t>openpii_pii_eval_38k</t>
        </is>
      </c>
      <c r="E253" t="inlineStr">
        <is>
          <t>T1</t>
        </is>
      </c>
      <c r="F253" s="25" t="n"/>
      <c r="G253" t="inlineStr">
        <is>
          <t>docs_per_s</t>
        </is>
      </c>
      <c r="H253" s="26" t="n">
        <v>43530.16210245457</v>
      </c>
      <c r="I253" s="26" t="n"/>
      <c r="J253" s="26" t="n"/>
      <c r="M253" t="inlineStr"/>
      <c r="N253" t="inlineStr"/>
      <c r="O253" s="24" t="inlineStr"/>
    </row>
    <row r="254">
      <c r="A254" t="inlineStr">
        <is>
          <t>R7.38</t>
        </is>
      </c>
      <c r="B254" t="inlineStr">
        <is>
          <t>sensitive</t>
        </is>
      </c>
      <c r="C254" s="24" t="inlineStr">
        <is>
          <t>tfidf_linear</t>
        </is>
      </c>
      <c r="D254" s="24" t="inlineStr">
        <is>
          <t>openpii_pii_eval_38k</t>
        </is>
      </c>
      <c r="E254" t="inlineStr">
        <is>
          <t>T1</t>
        </is>
      </c>
      <c r="F254" s="25" t="n"/>
      <c r="G254" t="inlineStr">
        <is>
          <t>macro_f2</t>
        </is>
      </c>
      <c r="H254" s="26" t="n">
        <v>0.6497876112996531</v>
      </c>
      <c r="I254" s="26" t="n"/>
      <c r="J254" s="26" t="n"/>
      <c r="M254" t="inlineStr"/>
      <c r="N254" t="inlineStr"/>
      <c r="O254" s="24" t="inlineStr"/>
    </row>
    <row r="255">
      <c r="A255" t="inlineStr">
        <is>
          <t>R7.38</t>
        </is>
      </c>
      <c r="B255" t="inlineStr">
        <is>
          <t>sensitive</t>
        </is>
      </c>
      <c r="C255" s="24" t="inlineStr">
        <is>
          <t>tfidf_linear</t>
        </is>
      </c>
      <c r="D255" s="24" t="inlineStr">
        <is>
          <t>openpii_pii_eval_38k</t>
        </is>
      </c>
      <c r="E255" t="inlineStr">
        <is>
          <t>T1</t>
        </is>
      </c>
      <c r="F255" s="25" t="n"/>
      <c r="G255" t="inlineStr">
        <is>
          <t>micro_f1</t>
        </is>
      </c>
      <c r="H255" s="26" t="n">
        <v>0.7431665633663413</v>
      </c>
      <c r="I255" s="26" t="n"/>
      <c r="J255" s="26" t="n"/>
      <c r="M255" t="inlineStr"/>
      <c r="N255" t="inlineStr">
        <is>
          <t>yes</t>
        </is>
      </c>
      <c r="O255" s="24" t="inlineStr"/>
    </row>
    <row r="256">
      <c r="A256" t="inlineStr">
        <is>
          <t>R7.38</t>
        </is>
      </c>
      <c r="B256" t="inlineStr">
        <is>
          <t>sensitive</t>
        </is>
      </c>
      <c r="C256" s="24" t="inlineStr">
        <is>
          <t>tfidf_linear</t>
        </is>
      </c>
      <c r="D256" s="24" t="inlineStr">
        <is>
          <t>openpii_pii_eval_38k</t>
        </is>
      </c>
      <c r="E256" t="inlineStr">
        <is>
          <t>T1</t>
        </is>
      </c>
      <c r="F256" s="25" t="n"/>
      <c r="G256" t="inlineStr">
        <is>
          <t>priority_measurable</t>
        </is>
      </c>
      <c r="H256" s="26" t="n">
        <v>9</v>
      </c>
      <c r="I256" s="26" t="n"/>
      <c r="J256" s="26" t="n"/>
      <c r="M256" t="inlineStr"/>
      <c r="N256" t="inlineStr"/>
      <c r="O256" s="24" t="inlineStr"/>
    </row>
    <row r="257">
      <c r="A257" t="inlineStr">
        <is>
          <t>R7.38</t>
        </is>
      </c>
      <c r="B257" t="inlineStr">
        <is>
          <t>sensitive</t>
        </is>
      </c>
      <c r="C257" s="24" t="inlineStr">
        <is>
          <t>tfidf_linear</t>
        </is>
      </c>
      <c r="D257" s="24" t="inlineStr">
        <is>
          <t>openpii_pii_eval_38k</t>
        </is>
      </c>
      <c r="E257" t="inlineStr">
        <is>
          <t>T1</t>
        </is>
      </c>
      <c r="F257" s="25" t="n"/>
      <c r="G257" t="inlineStr">
        <is>
          <t>priority_point_passes</t>
        </is>
      </c>
      <c r="H257" s="26" t="n">
        <v>8</v>
      </c>
      <c r="I257" s="26" t="n"/>
      <c r="J257" s="26" t="n"/>
      <c r="M257" t="inlineStr"/>
      <c r="N257" t="inlineStr"/>
      <c r="O257" s="24" t="inlineStr"/>
    </row>
    <row r="258">
      <c r="A258" t="inlineStr">
        <is>
          <t>R7.38</t>
        </is>
      </c>
      <c r="B258" t="inlineStr">
        <is>
          <t>sensitive</t>
        </is>
      </c>
      <c r="C258" s="24" t="inlineStr">
        <is>
          <t>tfidf_linear</t>
        </is>
      </c>
      <c r="D258" s="24" t="inlineStr">
        <is>
          <t>openpii_pii_eval_38k</t>
        </is>
      </c>
      <c r="E258" t="inlineStr">
        <is>
          <t>T1</t>
        </is>
      </c>
      <c r="F258" s="25" t="n"/>
      <c r="G258" t="inlineStr">
        <is>
          <t>worst_priority_recall</t>
        </is>
      </c>
      <c r="H258" s="26" t="n">
        <v>0.8968978102189781</v>
      </c>
      <c r="I258" s="26" t="n"/>
      <c r="J258" s="26" t="n"/>
      <c r="M258" t="inlineStr"/>
      <c r="N258" t="inlineStr"/>
      <c r="O258" s="24" t="inlineStr"/>
    </row>
    <row r="259">
      <c r="A259" t="inlineStr">
        <is>
          <t>R7.39</t>
        </is>
      </c>
      <c r="B259" t="inlineStr">
        <is>
          <t>sensitive</t>
        </is>
      </c>
      <c r="C259" s="24" t="inlineStr">
        <is>
          <t>tfidf_linear</t>
        </is>
      </c>
      <c r="D259" s="24" t="inlineStr">
        <is>
          <t>pii2_eval_30k</t>
        </is>
      </c>
      <c r="E259" t="inlineStr">
        <is>
          <t>T1</t>
        </is>
      </c>
      <c r="F259" s="25" t="n"/>
      <c r="G259" t="inlineStr">
        <is>
          <t>docs_per_s</t>
        </is>
      </c>
      <c r="H259" s="26" t="n">
        <v>5811.310123863176</v>
      </c>
      <c r="I259" s="26" t="n"/>
      <c r="J259" s="26" t="n"/>
      <c r="M259" t="inlineStr"/>
      <c r="N259" t="inlineStr"/>
      <c r="O259" s="24" t="inlineStr"/>
    </row>
    <row r="260">
      <c r="A260" t="inlineStr">
        <is>
          <t>R7.39</t>
        </is>
      </c>
      <c r="B260" t="inlineStr">
        <is>
          <t>sensitive</t>
        </is>
      </c>
      <c r="C260" s="24" t="inlineStr">
        <is>
          <t>tfidf_linear</t>
        </is>
      </c>
      <c r="D260" s="24" t="inlineStr">
        <is>
          <t>pii2_eval_30k</t>
        </is>
      </c>
      <c r="E260" t="inlineStr">
        <is>
          <t>T1</t>
        </is>
      </c>
      <c r="F260" s="25" t="n"/>
      <c r="G260" t="inlineStr">
        <is>
          <t>macro_f2</t>
        </is>
      </c>
      <c r="H260" s="26" t="n">
        <v>0.4090290775016811</v>
      </c>
      <c r="I260" s="26" t="n"/>
      <c r="J260" s="26" t="n"/>
      <c r="M260" t="inlineStr"/>
      <c r="N260" t="inlineStr"/>
      <c r="O260" s="24" t="inlineStr"/>
    </row>
    <row r="261">
      <c r="A261" t="inlineStr">
        <is>
          <t>R7.39</t>
        </is>
      </c>
      <c r="B261" t="inlineStr">
        <is>
          <t>sensitive</t>
        </is>
      </c>
      <c r="C261" s="24" t="inlineStr">
        <is>
          <t>tfidf_linear</t>
        </is>
      </c>
      <c r="D261" s="24" t="inlineStr">
        <is>
          <t>pii2_eval_30k</t>
        </is>
      </c>
      <c r="E261" t="inlineStr">
        <is>
          <t>T1</t>
        </is>
      </c>
      <c r="F261" s="25" t="n"/>
      <c r="G261" t="inlineStr">
        <is>
          <t>micro_f1</t>
        </is>
      </c>
      <c r="H261" s="26" t="n">
        <v>0.2489250584274887</v>
      </c>
      <c r="I261" s="26" t="n"/>
      <c r="J261" s="26" t="n"/>
      <c r="M261" t="inlineStr"/>
      <c r="N261" t="inlineStr">
        <is>
          <t>yes</t>
        </is>
      </c>
      <c r="O261" s="24" t="inlineStr"/>
    </row>
    <row r="262">
      <c r="A262" t="inlineStr">
        <is>
          <t>R7.39</t>
        </is>
      </c>
      <c r="B262" t="inlineStr">
        <is>
          <t>sensitive</t>
        </is>
      </c>
      <c r="C262" s="24" t="inlineStr">
        <is>
          <t>tfidf_linear</t>
        </is>
      </c>
      <c r="D262" s="24" t="inlineStr">
        <is>
          <t>pii2_eval_30k</t>
        </is>
      </c>
      <c r="E262" t="inlineStr">
        <is>
          <t>T1</t>
        </is>
      </c>
      <c r="F262" s="25" t="n"/>
      <c r="G262" t="inlineStr">
        <is>
          <t>priority_measurable</t>
        </is>
      </c>
      <c r="H262" s="26" t="n">
        <v>15</v>
      </c>
      <c r="I262" s="26" t="n"/>
      <c r="J262" s="26" t="n"/>
      <c r="M262" t="inlineStr"/>
      <c r="N262" t="inlineStr"/>
      <c r="O262" s="24" t="inlineStr"/>
    </row>
    <row r="263">
      <c r="A263" t="inlineStr">
        <is>
          <t>R7.39</t>
        </is>
      </c>
      <c r="B263" t="inlineStr">
        <is>
          <t>sensitive</t>
        </is>
      </c>
      <c r="C263" s="24" t="inlineStr">
        <is>
          <t>tfidf_linear</t>
        </is>
      </c>
      <c r="D263" s="24" t="inlineStr">
        <is>
          <t>pii2_eval_30k</t>
        </is>
      </c>
      <c r="E263" t="inlineStr">
        <is>
          <t>T1</t>
        </is>
      </c>
      <c r="F263" s="25" t="n"/>
      <c r="G263" t="inlineStr">
        <is>
          <t>priority_point_passes</t>
        </is>
      </c>
      <c r="H263" s="26" t="n">
        <v>15</v>
      </c>
      <c r="I263" s="26" t="n"/>
      <c r="J263" s="26" t="n"/>
      <c r="M263" t="inlineStr"/>
      <c r="N263" t="inlineStr"/>
      <c r="O263" s="24" t="inlineStr"/>
    </row>
    <row r="264">
      <c r="A264" t="inlineStr">
        <is>
          <t>R7.39</t>
        </is>
      </c>
      <c r="B264" t="inlineStr">
        <is>
          <t>sensitive</t>
        </is>
      </c>
      <c r="C264" s="24" t="inlineStr">
        <is>
          <t>tfidf_linear</t>
        </is>
      </c>
      <c r="D264" s="24" t="inlineStr">
        <is>
          <t>pii2_eval_30k</t>
        </is>
      </c>
      <c r="E264" t="inlineStr">
        <is>
          <t>T1</t>
        </is>
      </c>
      <c r="F264" s="25" t="n"/>
      <c r="G264" t="inlineStr">
        <is>
          <t>worst_priority_recall</t>
        </is>
      </c>
      <c r="H264" s="26" t="n">
        <v>0.9968354430379747</v>
      </c>
      <c r="I264" s="26" t="n"/>
      <c r="J264" s="26" t="n"/>
      <c r="M264" t="inlineStr"/>
      <c r="N264" t="inlineStr"/>
      <c r="O264" s="24" t="inlineStr"/>
    </row>
    <row r="265">
      <c r="A265" t="inlineStr">
        <is>
          <t>R7.40</t>
        </is>
      </c>
      <c r="B265" t="inlineStr">
        <is>
          <t>sensitive</t>
        </is>
      </c>
      <c r="C265" s="24" t="inlineStr">
        <is>
          <t>tfidf_linear</t>
        </is>
      </c>
      <c r="D265" s="24" t="inlineStr">
        <is>
          <t>pii_holdout_20k</t>
        </is>
      </c>
      <c r="E265" t="inlineStr">
        <is>
          <t>T1</t>
        </is>
      </c>
      <c r="F265" s="25" t="n"/>
      <c r="G265" t="inlineStr">
        <is>
          <t>docs_per_s</t>
        </is>
      </c>
      <c r="H265" s="26" t="n">
        <v>6337.175306380495</v>
      </c>
      <c r="I265" s="26" t="n"/>
      <c r="J265" s="26" t="n"/>
      <c r="M265" t="inlineStr"/>
      <c r="N265" t="inlineStr"/>
      <c r="O265" s="24" t="inlineStr"/>
    </row>
    <row r="266">
      <c r="A266" t="inlineStr">
        <is>
          <t>R7.40</t>
        </is>
      </c>
      <c r="B266" t="inlineStr">
        <is>
          <t>sensitive</t>
        </is>
      </c>
      <c r="C266" s="24" t="inlineStr">
        <is>
          <t>tfidf_linear</t>
        </is>
      </c>
      <c r="D266" s="24" t="inlineStr">
        <is>
          <t>pii_holdout_20k</t>
        </is>
      </c>
      <c r="E266" t="inlineStr">
        <is>
          <t>T1</t>
        </is>
      </c>
      <c r="F266" s="25" t="n"/>
      <c r="G266" t="inlineStr">
        <is>
          <t>macro_f2</t>
        </is>
      </c>
      <c r="H266" s="26" t="n">
        <v>0.5717789753627457</v>
      </c>
      <c r="I266" s="26" t="n"/>
      <c r="J266" s="26" t="n"/>
      <c r="M266" t="inlineStr"/>
      <c r="N266" t="inlineStr"/>
      <c r="O266" s="24" t="inlineStr"/>
    </row>
    <row r="267">
      <c r="A267" t="inlineStr">
        <is>
          <t>R7.40</t>
        </is>
      </c>
      <c r="B267" t="inlineStr">
        <is>
          <t>sensitive</t>
        </is>
      </c>
      <c r="C267" s="24" t="inlineStr">
        <is>
          <t>tfidf_linear</t>
        </is>
      </c>
      <c r="D267" s="24" t="inlineStr">
        <is>
          <t>pii_holdout_20k</t>
        </is>
      </c>
      <c r="E267" t="inlineStr">
        <is>
          <t>T1</t>
        </is>
      </c>
      <c r="F267" s="25" t="n"/>
      <c r="G267" t="inlineStr">
        <is>
          <t>micro_f1</t>
        </is>
      </c>
      <c r="H267" s="26" t="n">
        <v>0.5214487045831885</v>
      </c>
      <c r="I267" s="26" t="n"/>
      <c r="J267" s="26" t="n"/>
      <c r="M267" t="inlineStr"/>
      <c r="N267" t="inlineStr">
        <is>
          <t>yes</t>
        </is>
      </c>
      <c r="O267" s="24" t="inlineStr"/>
    </row>
    <row r="268">
      <c r="A268" t="inlineStr">
        <is>
          <t>R7.40</t>
        </is>
      </c>
      <c r="B268" t="inlineStr">
        <is>
          <t>sensitive</t>
        </is>
      </c>
      <c r="C268" s="24" t="inlineStr">
        <is>
          <t>tfidf_linear</t>
        </is>
      </c>
      <c r="D268" s="24" t="inlineStr">
        <is>
          <t>pii_holdout_20k</t>
        </is>
      </c>
      <c r="E268" t="inlineStr">
        <is>
          <t>T1</t>
        </is>
      </c>
      <c r="F268" s="25" t="n"/>
      <c r="G268" t="inlineStr">
        <is>
          <t>priority_measurable</t>
        </is>
      </c>
      <c r="H268" s="26" t="n">
        <v>14</v>
      </c>
      <c r="I268" s="26" t="n"/>
      <c r="J268" s="26" t="n"/>
      <c r="M268" t="inlineStr"/>
      <c r="N268" t="inlineStr"/>
      <c r="O268" s="24" t="inlineStr"/>
    </row>
    <row r="269">
      <c r="A269" t="inlineStr">
        <is>
          <t>R7.40</t>
        </is>
      </c>
      <c r="B269" t="inlineStr">
        <is>
          <t>sensitive</t>
        </is>
      </c>
      <c r="C269" s="24" t="inlineStr">
        <is>
          <t>tfidf_linear</t>
        </is>
      </c>
      <c r="D269" s="24" t="inlineStr">
        <is>
          <t>pii_holdout_20k</t>
        </is>
      </c>
      <c r="E269" t="inlineStr">
        <is>
          <t>T1</t>
        </is>
      </c>
      <c r="F269" s="25" t="n"/>
      <c r="G269" t="inlineStr">
        <is>
          <t>priority_point_passes</t>
        </is>
      </c>
      <c r="H269" s="26" t="n">
        <v>14</v>
      </c>
      <c r="I269" s="26" t="n"/>
      <c r="J269" s="26" t="n"/>
      <c r="M269" t="inlineStr"/>
      <c r="N269" t="inlineStr"/>
      <c r="O269" s="24" t="inlineStr"/>
    </row>
    <row r="270">
      <c r="A270" t="inlineStr">
        <is>
          <t>R7.40</t>
        </is>
      </c>
      <c r="B270" t="inlineStr">
        <is>
          <t>sensitive</t>
        </is>
      </c>
      <c r="C270" s="24" t="inlineStr">
        <is>
          <t>tfidf_linear</t>
        </is>
      </c>
      <c r="D270" s="24" t="inlineStr">
        <is>
          <t>pii_holdout_20k</t>
        </is>
      </c>
      <c r="E270" t="inlineStr">
        <is>
          <t>T1</t>
        </is>
      </c>
      <c r="F270" s="25" t="n"/>
      <c r="G270" t="inlineStr">
        <is>
          <t>worst_priority_recall</t>
        </is>
      </c>
      <c r="H270" s="26" t="n">
        <v>0.9180790960451978</v>
      </c>
      <c r="I270" s="26" t="n"/>
      <c r="J270" s="26" t="n"/>
      <c r="M270" t="inlineStr"/>
      <c r="N270" t="inlineStr"/>
      <c r="O270" s="24" t="inlineStr"/>
    </row>
    <row r="271">
      <c r="A271" t="inlineStr">
        <is>
          <t>R7.41</t>
        </is>
      </c>
      <c r="B271" t="inlineStr">
        <is>
          <t>sensitive</t>
        </is>
      </c>
      <c r="C271" s="24" t="inlineStr">
        <is>
          <t>embeddingbag_asl</t>
        </is>
      </c>
      <c r="D271" s="24" t="inlineStr">
        <is>
          <t>4000_datax-dualjudge-evalset-1.32k</t>
        </is>
      </c>
      <c r="E271" t="inlineStr">
        <is>
          <t>T1</t>
        </is>
      </c>
      <c r="F271" s="25" t="n"/>
      <c r="G271" t="inlineStr">
        <is>
          <t>docs_per_s</t>
        </is>
      </c>
      <c r="H271" s="26" t="n">
        <v>3269.995386566326</v>
      </c>
      <c r="I271" s="26" t="n"/>
      <c r="J271" s="26" t="n"/>
      <c r="M271" t="inlineStr"/>
      <c r="N271" t="inlineStr"/>
      <c r="O271" s="24" t="inlineStr"/>
    </row>
    <row r="272">
      <c r="A272" t="inlineStr">
        <is>
          <t>R7.41</t>
        </is>
      </c>
      <c r="B272" t="inlineStr">
        <is>
          <t>sensitive</t>
        </is>
      </c>
      <c r="C272" s="24" t="inlineStr">
        <is>
          <t>embeddingbag_asl</t>
        </is>
      </c>
      <c r="D272" s="24" t="inlineStr">
        <is>
          <t>4000_datax-dualjudge-evalset-1.32k</t>
        </is>
      </c>
      <c r="E272" t="inlineStr">
        <is>
          <t>T1</t>
        </is>
      </c>
      <c r="F272" s="25" t="n"/>
      <c r="G272" t="inlineStr">
        <is>
          <t>macro_f2</t>
        </is>
      </c>
      <c r="H272" s="26" t="n"/>
      <c r="I272" s="26" t="n"/>
      <c r="J272" s="26" t="n"/>
      <c r="M272" t="inlineStr"/>
      <c r="N272" t="inlineStr"/>
      <c r="O272" s="24" t="inlineStr"/>
    </row>
    <row r="273">
      <c r="A273" t="inlineStr">
        <is>
          <t>R7.41</t>
        </is>
      </c>
      <c r="B273" t="inlineStr">
        <is>
          <t>sensitive</t>
        </is>
      </c>
      <c r="C273" s="24" t="inlineStr">
        <is>
          <t>embeddingbag_asl</t>
        </is>
      </c>
      <c r="D273" s="24" t="inlineStr">
        <is>
          <t>4000_datax-dualjudge-evalset-1.32k</t>
        </is>
      </c>
      <c r="E273" t="inlineStr">
        <is>
          <t>T1</t>
        </is>
      </c>
      <c r="F273" s="25" t="n"/>
      <c r="G273" t="inlineStr">
        <is>
          <t>micro_f1</t>
        </is>
      </c>
      <c r="H273" s="26" t="n"/>
      <c r="I273" s="26" t="n"/>
      <c r="J273" s="26" t="n"/>
      <c r="M273" t="inlineStr"/>
      <c r="N273" t="inlineStr"/>
      <c r="O273" s="24" t="inlineStr"/>
    </row>
    <row r="274">
      <c r="A274" t="inlineStr">
        <is>
          <t>R7.41</t>
        </is>
      </c>
      <c r="B274" t="inlineStr">
        <is>
          <t>sensitive</t>
        </is>
      </c>
      <c r="C274" s="24" t="inlineStr">
        <is>
          <t>embeddingbag_asl</t>
        </is>
      </c>
      <c r="D274" s="24" t="inlineStr">
        <is>
          <t>4000_datax-dualjudge-evalset-1.32k</t>
        </is>
      </c>
      <c r="E274" t="inlineStr">
        <is>
          <t>T1</t>
        </is>
      </c>
      <c r="F274" s="25" t="n"/>
      <c r="G274" t="inlineStr">
        <is>
          <t>priority_measurable</t>
        </is>
      </c>
      <c r="H274" s="26" t="n">
        <v>1</v>
      </c>
      <c r="I274" s="26" t="n"/>
      <c r="J274" s="26" t="n"/>
      <c r="M274" t="inlineStr"/>
      <c r="N274" t="inlineStr"/>
      <c r="O274" s="24" t="inlineStr"/>
    </row>
    <row r="275">
      <c r="A275" t="inlineStr">
        <is>
          <t>R7.41</t>
        </is>
      </c>
      <c r="B275" t="inlineStr">
        <is>
          <t>sensitive</t>
        </is>
      </c>
      <c r="C275" s="24" t="inlineStr">
        <is>
          <t>embeddingbag_asl</t>
        </is>
      </c>
      <c r="D275" s="24" t="inlineStr">
        <is>
          <t>4000_datax-dualjudge-evalset-1.32k</t>
        </is>
      </c>
      <c r="E275" t="inlineStr">
        <is>
          <t>T1</t>
        </is>
      </c>
      <c r="F275" s="25" t="n"/>
      <c r="G275" t="inlineStr">
        <is>
          <t>priority_point_passes</t>
        </is>
      </c>
      <c r="H275" s="26" t="n">
        <v>0</v>
      </c>
      <c r="I275" s="26" t="n"/>
      <c r="J275" s="26" t="n"/>
      <c r="M275" t="inlineStr"/>
      <c r="N275" t="inlineStr"/>
      <c r="O275" s="24" t="inlineStr"/>
    </row>
    <row r="276">
      <c r="A276" t="inlineStr">
        <is>
          <t>R7.41</t>
        </is>
      </c>
      <c r="B276" t="inlineStr">
        <is>
          <t>sensitive</t>
        </is>
      </c>
      <c r="C276" s="24" t="inlineStr">
        <is>
          <t>embeddingbag_asl</t>
        </is>
      </c>
      <c r="D276" s="24" t="inlineStr">
        <is>
          <t>4000_datax-dualjudge-evalset-1.32k</t>
        </is>
      </c>
      <c r="E276" t="inlineStr">
        <is>
          <t>T1</t>
        </is>
      </c>
      <c r="F276" s="25" t="n"/>
      <c r="G276" t="inlineStr">
        <is>
          <t>worst_priority_recall</t>
        </is>
      </c>
      <c r="H276" s="26" t="n">
        <v>0.8742857142857143</v>
      </c>
      <c r="I276" s="26" t="n"/>
      <c r="J276" s="26" t="n"/>
      <c r="M276" t="inlineStr"/>
      <c r="N276" t="inlineStr"/>
      <c r="O276" s="24" t="inlineStr"/>
    </row>
    <row r="277">
      <c r="A277" t="inlineStr">
        <is>
          <t>R7.42</t>
        </is>
      </c>
      <c r="B277" t="inlineStr">
        <is>
          <t>sensitive</t>
        </is>
      </c>
      <c r="C277" s="24" t="inlineStr">
        <is>
          <t>embeddingbag_asl</t>
        </is>
      </c>
      <c r="D277" s="24" t="inlineStr">
        <is>
          <t>6589_govdocs2-dualjudge-eval20-3.53k</t>
        </is>
      </c>
      <c r="E277" t="inlineStr">
        <is>
          <t>T1</t>
        </is>
      </c>
      <c r="F277" s="25" t="n"/>
      <c r="G277" t="inlineStr">
        <is>
          <t>docs_per_s</t>
        </is>
      </c>
      <c r="H277" s="26" t="n">
        <v>2617.863607558388</v>
      </c>
      <c r="I277" s="26" t="n"/>
      <c r="J277" s="26" t="n"/>
      <c r="M277" t="inlineStr"/>
      <c r="N277" t="inlineStr"/>
      <c r="O277" s="24" t="inlineStr"/>
    </row>
    <row r="278">
      <c r="A278" t="inlineStr">
        <is>
          <t>R7.42</t>
        </is>
      </c>
      <c r="B278" t="inlineStr">
        <is>
          <t>sensitive</t>
        </is>
      </c>
      <c r="C278" s="24" t="inlineStr">
        <is>
          <t>embeddingbag_asl</t>
        </is>
      </c>
      <c r="D278" s="24" t="inlineStr">
        <is>
          <t>6589_govdocs2-dualjudge-eval20-3.53k</t>
        </is>
      </c>
      <c r="E278" t="inlineStr">
        <is>
          <t>T1</t>
        </is>
      </c>
      <c r="F278" s="25" t="n"/>
      <c r="G278" t="inlineStr">
        <is>
          <t>macro_f2</t>
        </is>
      </c>
      <c r="H278" s="26" t="n"/>
      <c r="I278" s="26" t="n"/>
      <c r="J278" s="26" t="n"/>
      <c r="M278" t="inlineStr"/>
      <c r="N278" t="inlineStr"/>
      <c r="O278" s="24" t="inlineStr"/>
    </row>
    <row r="279">
      <c r="A279" t="inlineStr">
        <is>
          <t>R7.42</t>
        </is>
      </c>
      <c r="B279" t="inlineStr">
        <is>
          <t>sensitive</t>
        </is>
      </c>
      <c r="C279" s="24" t="inlineStr">
        <is>
          <t>embeddingbag_asl</t>
        </is>
      </c>
      <c r="D279" s="24" t="inlineStr">
        <is>
          <t>6589_govdocs2-dualjudge-eval20-3.53k</t>
        </is>
      </c>
      <c r="E279" t="inlineStr">
        <is>
          <t>T1</t>
        </is>
      </c>
      <c r="F279" s="25" t="n"/>
      <c r="G279" t="inlineStr">
        <is>
          <t>micro_f1</t>
        </is>
      </c>
      <c r="H279" s="26" t="n"/>
      <c r="I279" s="26" t="n"/>
      <c r="J279" s="26" t="n"/>
      <c r="M279" t="inlineStr"/>
      <c r="N279" t="inlineStr"/>
      <c r="O279" s="24" t="inlineStr"/>
    </row>
    <row r="280">
      <c r="A280" t="inlineStr">
        <is>
          <t>R7.42</t>
        </is>
      </c>
      <c r="B280" t="inlineStr">
        <is>
          <t>sensitive</t>
        </is>
      </c>
      <c r="C280" s="24" t="inlineStr">
        <is>
          <t>embeddingbag_asl</t>
        </is>
      </c>
      <c r="D280" s="24" t="inlineStr">
        <is>
          <t>6589_govdocs2-dualjudge-eval20-3.53k</t>
        </is>
      </c>
      <c r="E280" t="inlineStr">
        <is>
          <t>T1</t>
        </is>
      </c>
      <c r="F280" s="25" t="n"/>
      <c r="G280" t="inlineStr">
        <is>
          <t>priority_measurable</t>
        </is>
      </c>
      <c r="H280" s="26" t="n">
        <v>2</v>
      </c>
      <c r="I280" s="26" t="n"/>
      <c r="J280" s="26" t="n"/>
      <c r="M280" t="inlineStr"/>
      <c r="N280" t="inlineStr"/>
      <c r="O280" s="24" t="inlineStr"/>
    </row>
    <row r="281">
      <c r="A281" t="inlineStr">
        <is>
          <t>R7.42</t>
        </is>
      </c>
      <c r="B281" t="inlineStr">
        <is>
          <t>sensitive</t>
        </is>
      </c>
      <c r="C281" s="24" t="inlineStr">
        <is>
          <t>embeddingbag_asl</t>
        </is>
      </c>
      <c r="D281" s="24" t="inlineStr">
        <is>
          <t>6589_govdocs2-dualjudge-eval20-3.53k</t>
        </is>
      </c>
      <c r="E281" t="inlineStr">
        <is>
          <t>T1</t>
        </is>
      </c>
      <c r="F281" s="25" t="n"/>
      <c r="G281" t="inlineStr">
        <is>
          <t>priority_point_passes</t>
        </is>
      </c>
      <c r="H281" s="26" t="n">
        <v>2</v>
      </c>
      <c r="I281" s="26" t="n"/>
      <c r="J281" s="26" t="n"/>
      <c r="M281" t="inlineStr"/>
      <c r="N281" t="inlineStr"/>
      <c r="O281" s="24" t="inlineStr"/>
    </row>
    <row r="282">
      <c r="A282" t="inlineStr">
        <is>
          <t>R7.42</t>
        </is>
      </c>
      <c r="B282" t="inlineStr">
        <is>
          <t>sensitive</t>
        </is>
      </c>
      <c r="C282" s="24" t="inlineStr">
        <is>
          <t>embeddingbag_asl</t>
        </is>
      </c>
      <c r="D282" s="24" t="inlineStr">
        <is>
          <t>6589_govdocs2-dualjudge-eval20-3.53k</t>
        </is>
      </c>
      <c r="E282" t="inlineStr">
        <is>
          <t>T1</t>
        </is>
      </c>
      <c r="F282" s="25" t="n"/>
      <c r="G282" t="inlineStr">
        <is>
          <t>worst_priority_recall</t>
        </is>
      </c>
      <c r="H282" s="26" t="n">
        <v>0.9113355780022446</v>
      </c>
      <c r="I282" s="26" t="n"/>
      <c r="J282" s="26" t="n"/>
      <c r="M282" t="inlineStr"/>
      <c r="N282" t="inlineStr"/>
      <c r="O282" s="24" t="inlineStr"/>
    </row>
    <row r="283">
      <c r="A283" t="inlineStr">
        <is>
          <t>R7.43</t>
        </is>
      </c>
      <c r="B283" t="inlineStr">
        <is>
          <t>sensitive</t>
        </is>
      </c>
      <c r="C283" s="24" t="inlineStr">
        <is>
          <t>embeddingbag_asl</t>
        </is>
      </c>
      <c r="D283" s="24" t="inlineStr">
        <is>
          <t>ai4privacy_pii_masking_eval_10k</t>
        </is>
      </c>
      <c r="E283" t="inlineStr">
        <is>
          <t>T1</t>
        </is>
      </c>
      <c r="F283" s="25" t="n"/>
      <c r="G283" t="inlineStr">
        <is>
          <t>docs_per_s</t>
        </is>
      </c>
      <c r="H283" s="26" t="n">
        <v>92401.67126651191</v>
      </c>
      <c r="I283" s="26" t="n"/>
      <c r="J283" s="26" t="n"/>
      <c r="M283" t="inlineStr"/>
      <c r="N283" t="inlineStr"/>
      <c r="O283" s="24" t="inlineStr"/>
    </row>
    <row r="284">
      <c r="A284" t="inlineStr">
        <is>
          <t>R7.43</t>
        </is>
      </c>
      <c r="B284" t="inlineStr">
        <is>
          <t>sensitive</t>
        </is>
      </c>
      <c r="C284" s="24" t="inlineStr">
        <is>
          <t>embeddingbag_asl</t>
        </is>
      </c>
      <c r="D284" s="24" t="inlineStr">
        <is>
          <t>ai4privacy_pii_masking_eval_10k</t>
        </is>
      </c>
      <c r="E284" t="inlineStr">
        <is>
          <t>T1</t>
        </is>
      </c>
      <c r="F284" s="25" t="n"/>
      <c r="G284" t="inlineStr">
        <is>
          <t>macro_f2</t>
        </is>
      </c>
      <c r="H284" s="26" t="n">
        <v>0.4733181263162617</v>
      </c>
      <c r="I284" s="26" t="n"/>
      <c r="J284" s="26" t="n"/>
      <c r="M284" t="inlineStr"/>
      <c r="N284" t="inlineStr"/>
      <c r="O284" s="24" t="inlineStr"/>
    </row>
    <row r="285">
      <c r="A285" t="inlineStr">
        <is>
          <t>R7.43</t>
        </is>
      </c>
      <c r="B285" t="inlineStr">
        <is>
          <t>sensitive</t>
        </is>
      </c>
      <c r="C285" s="24" t="inlineStr">
        <is>
          <t>embeddingbag_asl</t>
        </is>
      </c>
      <c r="D285" s="24" t="inlineStr">
        <is>
          <t>ai4privacy_pii_masking_eval_10k</t>
        </is>
      </c>
      <c r="E285" t="inlineStr">
        <is>
          <t>T1</t>
        </is>
      </c>
      <c r="F285" s="25" t="n"/>
      <c r="G285" t="inlineStr">
        <is>
          <t>micro_f1</t>
        </is>
      </c>
      <c r="H285" s="26" t="n">
        <v>0.3854189688959613</v>
      </c>
      <c r="I285" s="26" t="n"/>
      <c r="J285" s="26" t="n"/>
      <c r="M285" t="inlineStr"/>
      <c r="N285" t="inlineStr">
        <is>
          <t>yes</t>
        </is>
      </c>
      <c r="O285" s="24" t="inlineStr"/>
    </row>
    <row r="286">
      <c r="A286" t="inlineStr">
        <is>
          <t>R7.43</t>
        </is>
      </c>
      <c r="B286" t="inlineStr">
        <is>
          <t>sensitive</t>
        </is>
      </c>
      <c r="C286" s="24" t="inlineStr">
        <is>
          <t>embeddingbag_asl</t>
        </is>
      </c>
      <c r="D286" s="24" t="inlineStr">
        <is>
          <t>ai4privacy_pii_masking_eval_10k</t>
        </is>
      </c>
      <c r="E286" t="inlineStr">
        <is>
          <t>T1</t>
        </is>
      </c>
      <c r="F286" s="25" t="n"/>
      <c r="G286" t="inlineStr">
        <is>
          <t>priority_measurable</t>
        </is>
      </c>
      <c r="H286" s="26" t="n">
        <v>10</v>
      </c>
      <c r="I286" s="26" t="n"/>
      <c r="J286" s="26" t="n"/>
      <c r="M286" t="inlineStr"/>
      <c r="N286" t="inlineStr"/>
      <c r="O286" s="24" t="inlineStr"/>
    </row>
    <row r="287">
      <c r="A287" t="inlineStr">
        <is>
          <t>R7.43</t>
        </is>
      </c>
      <c r="B287" t="inlineStr">
        <is>
          <t>sensitive</t>
        </is>
      </c>
      <c r="C287" s="24" t="inlineStr">
        <is>
          <t>embeddingbag_asl</t>
        </is>
      </c>
      <c r="D287" s="24" t="inlineStr">
        <is>
          <t>ai4privacy_pii_masking_eval_10k</t>
        </is>
      </c>
      <c r="E287" t="inlineStr">
        <is>
          <t>T1</t>
        </is>
      </c>
      <c r="F287" s="25" t="n"/>
      <c r="G287" t="inlineStr">
        <is>
          <t>priority_point_passes</t>
        </is>
      </c>
      <c r="H287" s="26" t="n">
        <v>9</v>
      </c>
      <c r="I287" s="26" t="n"/>
      <c r="J287" s="26" t="n"/>
      <c r="M287" t="inlineStr"/>
      <c r="N287" t="inlineStr"/>
      <c r="O287" s="24" t="inlineStr"/>
    </row>
    <row r="288">
      <c r="A288" t="inlineStr">
        <is>
          <t>R7.43</t>
        </is>
      </c>
      <c r="B288" t="inlineStr">
        <is>
          <t>sensitive</t>
        </is>
      </c>
      <c r="C288" s="24" t="inlineStr">
        <is>
          <t>embeddingbag_asl</t>
        </is>
      </c>
      <c r="D288" s="24" t="inlineStr">
        <is>
          <t>ai4privacy_pii_masking_eval_10k</t>
        </is>
      </c>
      <c r="E288" t="inlineStr">
        <is>
          <t>T1</t>
        </is>
      </c>
      <c r="F288" s="25" t="n"/>
      <c r="G288" t="inlineStr">
        <is>
          <t>worst_priority_recall</t>
        </is>
      </c>
      <c r="H288" s="26" t="n">
        <v>0.896167383652718</v>
      </c>
      <c r="I288" s="26" t="n"/>
      <c r="J288" s="26" t="n"/>
      <c r="M288" t="inlineStr"/>
      <c r="N288" t="inlineStr"/>
      <c r="O288" s="24" t="inlineStr"/>
    </row>
    <row r="289">
      <c r="A289" t="inlineStr">
        <is>
          <t>R7.44</t>
        </is>
      </c>
      <c r="B289" t="inlineStr">
        <is>
          <t>sensitive</t>
        </is>
      </c>
      <c r="C289" s="24" t="inlineStr">
        <is>
          <t>embeddingbag_asl</t>
        </is>
      </c>
      <c r="D289" s="24" t="inlineStr">
        <is>
          <t>betterdataai_ner_silver_eval_10k</t>
        </is>
      </c>
      <c r="E289" t="inlineStr">
        <is>
          <t>T1</t>
        </is>
      </c>
      <c r="F289" s="25" t="n"/>
      <c r="G289" t="inlineStr">
        <is>
          <t>docs_per_s</t>
        </is>
      </c>
      <c r="H289" s="26" t="n">
        <v>69265.97812946518</v>
      </c>
      <c r="I289" s="26" t="n"/>
      <c r="J289" s="26" t="n"/>
      <c r="M289" t="inlineStr"/>
      <c r="N289" t="inlineStr"/>
      <c r="O289" s="24" t="inlineStr"/>
    </row>
    <row r="290">
      <c r="A290" t="inlineStr">
        <is>
          <t>R7.44</t>
        </is>
      </c>
      <c r="B290" t="inlineStr">
        <is>
          <t>sensitive</t>
        </is>
      </c>
      <c r="C290" s="24" t="inlineStr">
        <is>
          <t>embeddingbag_asl</t>
        </is>
      </c>
      <c r="D290" s="24" t="inlineStr">
        <is>
          <t>betterdataai_ner_silver_eval_10k</t>
        </is>
      </c>
      <c r="E290" t="inlineStr">
        <is>
          <t>T1</t>
        </is>
      </c>
      <c r="F290" s="25" t="n"/>
      <c r="G290" t="inlineStr">
        <is>
          <t>macro_f2</t>
        </is>
      </c>
      <c r="H290" s="26" t="n">
        <v>0.1850011224436722</v>
      </c>
      <c r="I290" s="26" t="n"/>
      <c r="J290" s="26" t="n"/>
      <c r="M290" t="inlineStr"/>
      <c r="N290" t="inlineStr"/>
      <c r="O290" s="24" t="inlineStr"/>
    </row>
    <row r="291">
      <c r="A291" t="inlineStr">
        <is>
          <t>R7.44</t>
        </is>
      </c>
      <c r="B291" t="inlineStr">
        <is>
          <t>sensitive</t>
        </is>
      </c>
      <c r="C291" s="24" t="inlineStr">
        <is>
          <t>embeddingbag_asl</t>
        </is>
      </c>
      <c r="D291" s="24" t="inlineStr">
        <is>
          <t>betterdataai_ner_silver_eval_10k</t>
        </is>
      </c>
      <c r="E291" t="inlineStr">
        <is>
          <t>T1</t>
        </is>
      </c>
      <c r="F291" s="25" t="n"/>
      <c r="G291" t="inlineStr">
        <is>
          <t>micro_f1</t>
        </is>
      </c>
      <c r="H291" s="26" t="n">
        <v>0.3234955814279703</v>
      </c>
      <c r="I291" s="26" t="n"/>
      <c r="J291" s="26" t="n"/>
      <c r="M291" t="inlineStr"/>
      <c r="N291" t="inlineStr">
        <is>
          <t>yes</t>
        </is>
      </c>
      <c r="O291" s="24" t="inlineStr"/>
    </row>
    <row r="292">
      <c r="A292" t="inlineStr">
        <is>
          <t>R7.44</t>
        </is>
      </c>
      <c r="B292" t="inlineStr">
        <is>
          <t>sensitive</t>
        </is>
      </c>
      <c r="C292" s="24" t="inlineStr">
        <is>
          <t>embeddingbag_asl</t>
        </is>
      </c>
      <c r="D292" s="24" t="inlineStr">
        <is>
          <t>betterdataai_ner_silver_eval_10k</t>
        </is>
      </c>
      <c r="E292" t="inlineStr">
        <is>
          <t>T1</t>
        </is>
      </c>
      <c r="F292" s="25" t="n"/>
      <c r="G292" t="inlineStr">
        <is>
          <t>priority_measurable</t>
        </is>
      </c>
      <c r="H292" s="26" t="n">
        <v>4</v>
      </c>
      <c r="I292" s="26" t="n"/>
      <c r="J292" s="26" t="n"/>
      <c r="M292" t="inlineStr"/>
      <c r="N292" t="inlineStr"/>
      <c r="O292" s="24" t="inlineStr"/>
    </row>
    <row r="293">
      <c r="A293" t="inlineStr">
        <is>
          <t>R7.44</t>
        </is>
      </c>
      <c r="B293" t="inlineStr">
        <is>
          <t>sensitive</t>
        </is>
      </c>
      <c r="C293" s="24" t="inlineStr">
        <is>
          <t>embeddingbag_asl</t>
        </is>
      </c>
      <c r="D293" s="24" t="inlineStr">
        <is>
          <t>betterdataai_ner_silver_eval_10k</t>
        </is>
      </c>
      <c r="E293" t="inlineStr">
        <is>
          <t>T1</t>
        </is>
      </c>
      <c r="F293" s="25" t="n"/>
      <c r="G293" t="inlineStr">
        <is>
          <t>priority_point_passes</t>
        </is>
      </c>
      <c r="H293" s="26" t="n">
        <v>2</v>
      </c>
      <c r="I293" s="26" t="n"/>
      <c r="J293" s="26" t="n"/>
      <c r="M293" t="inlineStr"/>
      <c r="N293" t="inlineStr"/>
      <c r="O293" s="24" t="inlineStr"/>
    </row>
    <row r="294">
      <c r="A294" t="inlineStr">
        <is>
          <t>R7.44</t>
        </is>
      </c>
      <c r="B294" t="inlineStr">
        <is>
          <t>sensitive</t>
        </is>
      </c>
      <c r="C294" s="24" t="inlineStr">
        <is>
          <t>embeddingbag_asl</t>
        </is>
      </c>
      <c r="D294" s="24" t="inlineStr">
        <is>
          <t>betterdataai_ner_silver_eval_10k</t>
        </is>
      </c>
      <c r="E294" t="inlineStr">
        <is>
          <t>T1</t>
        </is>
      </c>
      <c r="F294" s="25" t="n"/>
      <c r="G294" t="inlineStr">
        <is>
          <t>worst_priority_recall</t>
        </is>
      </c>
      <c r="H294" s="26" t="n">
        <v>0.42</v>
      </c>
      <c r="I294" s="26" t="n"/>
      <c r="J294" s="26" t="n"/>
      <c r="M294" t="inlineStr"/>
      <c r="N294" t="inlineStr"/>
      <c r="O294" s="24" t="inlineStr"/>
    </row>
    <row r="295">
      <c r="A295" t="inlineStr">
        <is>
          <t>R7.45</t>
        </is>
      </c>
      <c r="B295" t="inlineStr">
        <is>
          <t>sensitive</t>
        </is>
      </c>
      <c r="C295" s="24" t="inlineStr">
        <is>
          <t>embeddingbag_asl</t>
        </is>
      </c>
      <c r="D295" s="24" t="inlineStr">
        <is>
          <t>nemotron_eval_6k</t>
        </is>
      </c>
      <c r="E295" t="inlineStr">
        <is>
          <t>T1</t>
        </is>
      </c>
      <c r="F295" s="25" t="n"/>
      <c r="G295" t="inlineStr">
        <is>
          <t>docs_per_s</t>
        </is>
      </c>
      <c r="H295" s="26" t="n">
        <v>34984.14200497227</v>
      </c>
      <c r="I295" s="26" t="n"/>
      <c r="J295" s="26" t="n"/>
      <c r="M295" t="inlineStr"/>
      <c r="N295" t="inlineStr"/>
      <c r="O295" s="24" t="inlineStr"/>
    </row>
    <row r="296">
      <c r="A296" t="inlineStr">
        <is>
          <t>R7.45</t>
        </is>
      </c>
      <c r="B296" t="inlineStr">
        <is>
          <t>sensitive</t>
        </is>
      </c>
      <c r="C296" s="24" t="inlineStr">
        <is>
          <t>embeddingbag_asl</t>
        </is>
      </c>
      <c r="D296" s="24" t="inlineStr">
        <is>
          <t>nemotron_eval_6k</t>
        </is>
      </c>
      <c r="E296" t="inlineStr">
        <is>
          <t>T1</t>
        </is>
      </c>
      <c r="F296" s="25" t="n"/>
      <c r="G296" t="inlineStr">
        <is>
          <t>macro_f2</t>
        </is>
      </c>
      <c r="H296" s="26" t="n"/>
      <c r="I296" s="26" t="n"/>
      <c r="J296" s="26" t="n"/>
      <c r="M296" t="inlineStr"/>
      <c r="N296" t="inlineStr"/>
      <c r="O296" s="24" t="inlineStr"/>
    </row>
    <row r="297">
      <c r="A297" t="inlineStr">
        <is>
          <t>R7.45</t>
        </is>
      </c>
      <c r="B297" t="inlineStr">
        <is>
          <t>sensitive</t>
        </is>
      </c>
      <c r="C297" s="24" t="inlineStr">
        <is>
          <t>embeddingbag_asl</t>
        </is>
      </c>
      <c r="D297" s="24" t="inlineStr">
        <is>
          <t>nemotron_eval_6k</t>
        </is>
      </c>
      <c r="E297" t="inlineStr">
        <is>
          <t>T1</t>
        </is>
      </c>
      <c r="F297" s="25" t="n"/>
      <c r="G297" t="inlineStr">
        <is>
          <t>micro_f1</t>
        </is>
      </c>
      <c r="H297" s="26" t="n"/>
      <c r="I297" s="26" t="n"/>
      <c r="J297" s="26" t="n"/>
      <c r="M297" t="inlineStr"/>
      <c r="N297" t="inlineStr"/>
      <c r="O297" s="24" t="inlineStr"/>
    </row>
    <row r="298">
      <c r="A298" t="inlineStr">
        <is>
          <t>R7.45</t>
        </is>
      </c>
      <c r="B298" t="inlineStr">
        <is>
          <t>sensitive</t>
        </is>
      </c>
      <c r="C298" s="24" t="inlineStr">
        <is>
          <t>embeddingbag_asl</t>
        </is>
      </c>
      <c r="D298" s="24" t="inlineStr">
        <is>
          <t>nemotron_eval_6k</t>
        </is>
      </c>
      <c r="E298" t="inlineStr">
        <is>
          <t>T1</t>
        </is>
      </c>
      <c r="F298" s="25" t="n"/>
      <c r="G298" t="inlineStr">
        <is>
          <t>priority_measurable</t>
        </is>
      </c>
      <c r="H298" s="26" t="n">
        <v>0</v>
      </c>
      <c r="I298" s="26" t="n"/>
      <c r="J298" s="26" t="n"/>
      <c r="M298" t="inlineStr"/>
      <c r="N298" t="inlineStr"/>
      <c r="O298" s="24" t="inlineStr"/>
    </row>
    <row r="299">
      <c r="A299" t="inlineStr">
        <is>
          <t>R7.45</t>
        </is>
      </c>
      <c r="B299" t="inlineStr">
        <is>
          <t>sensitive</t>
        </is>
      </c>
      <c r="C299" s="24" t="inlineStr">
        <is>
          <t>embeddingbag_asl</t>
        </is>
      </c>
      <c r="D299" s="24" t="inlineStr">
        <is>
          <t>nemotron_eval_6k</t>
        </is>
      </c>
      <c r="E299" t="inlineStr">
        <is>
          <t>T1</t>
        </is>
      </c>
      <c r="F299" s="25" t="n"/>
      <c r="G299" t="inlineStr">
        <is>
          <t>priority_point_passes</t>
        </is>
      </c>
      <c r="H299" s="26" t="n">
        <v>0</v>
      </c>
      <c r="I299" s="26" t="n"/>
      <c r="J299" s="26" t="n"/>
      <c r="M299" t="inlineStr"/>
      <c r="N299" t="inlineStr"/>
      <c r="O299" s="24" t="inlineStr"/>
    </row>
    <row r="300">
      <c r="A300" t="inlineStr">
        <is>
          <t>R7.45</t>
        </is>
      </c>
      <c r="B300" t="inlineStr">
        <is>
          <t>sensitive</t>
        </is>
      </c>
      <c r="C300" s="24" t="inlineStr">
        <is>
          <t>embeddingbag_asl</t>
        </is>
      </c>
      <c r="D300" s="24" t="inlineStr">
        <is>
          <t>nemotron_eval_6k</t>
        </is>
      </c>
      <c r="E300" t="inlineStr">
        <is>
          <t>T1</t>
        </is>
      </c>
      <c r="F300" s="25" t="n"/>
      <c r="G300" t="inlineStr">
        <is>
          <t>worst_priority_recall</t>
        </is>
      </c>
      <c r="H300" s="26" t="n"/>
      <c r="I300" s="26" t="n"/>
      <c r="J300" s="26" t="n"/>
      <c r="M300" t="inlineStr"/>
      <c r="N300" t="inlineStr"/>
      <c r="O300" s="24" t="inlineStr"/>
    </row>
    <row r="301">
      <c r="A301" t="inlineStr">
        <is>
          <t>R7.46</t>
        </is>
      </c>
      <c r="B301" t="inlineStr">
        <is>
          <t>sensitive</t>
        </is>
      </c>
      <c r="C301" s="24" t="inlineStr">
        <is>
          <t>embeddingbag_asl</t>
        </is>
      </c>
      <c r="D301" s="24" t="inlineStr">
        <is>
          <t>openpii_pii_eval_38k</t>
        </is>
      </c>
      <c r="E301" t="inlineStr">
        <is>
          <t>T1</t>
        </is>
      </c>
      <c r="F301" s="25" t="n"/>
      <c r="G301" t="inlineStr">
        <is>
          <t>docs_per_s</t>
        </is>
      </c>
      <c r="H301" s="26" t="n">
        <v>67067.11425422892</v>
      </c>
      <c r="I301" s="26" t="n"/>
      <c r="J301" s="26" t="n"/>
      <c r="M301" t="inlineStr"/>
      <c r="N301" t="inlineStr"/>
      <c r="O301" s="24" t="inlineStr"/>
    </row>
    <row r="302">
      <c r="A302" t="inlineStr">
        <is>
          <t>R7.46</t>
        </is>
      </c>
      <c r="B302" t="inlineStr">
        <is>
          <t>sensitive</t>
        </is>
      </c>
      <c r="C302" s="24" t="inlineStr">
        <is>
          <t>embeddingbag_asl</t>
        </is>
      </c>
      <c r="D302" s="24" t="inlineStr">
        <is>
          <t>openpii_pii_eval_38k</t>
        </is>
      </c>
      <c r="E302" t="inlineStr">
        <is>
          <t>T1</t>
        </is>
      </c>
      <c r="F302" s="25" t="n"/>
      <c r="G302" t="inlineStr">
        <is>
          <t>macro_f2</t>
        </is>
      </c>
      <c r="H302" s="26" t="n">
        <v>0.6003032272468823</v>
      </c>
      <c r="I302" s="26" t="n"/>
      <c r="J302" s="26" t="n"/>
      <c r="M302" t="inlineStr"/>
      <c r="N302" t="inlineStr"/>
      <c r="O302" s="24" t="inlineStr"/>
    </row>
    <row r="303">
      <c r="A303" t="inlineStr">
        <is>
          <t>R7.46</t>
        </is>
      </c>
      <c r="B303" t="inlineStr">
        <is>
          <t>sensitive</t>
        </is>
      </c>
      <c r="C303" s="24" t="inlineStr">
        <is>
          <t>embeddingbag_asl</t>
        </is>
      </c>
      <c r="D303" s="24" t="inlineStr">
        <is>
          <t>openpii_pii_eval_38k</t>
        </is>
      </c>
      <c r="E303" t="inlineStr">
        <is>
          <t>T1</t>
        </is>
      </c>
      <c r="F303" s="25" t="n"/>
      <c r="G303" t="inlineStr">
        <is>
          <t>micro_f1</t>
        </is>
      </c>
      <c r="H303" s="26" t="n">
        <v>0.6628003857081003</v>
      </c>
      <c r="I303" s="26" t="n"/>
      <c r="J303" s="26" t="n"/>
      <c r="M303" t="inlineStr"/>
      <c r="N303" t="inlineStr">
        <is>
          <t>yes</t>
        </is>
      </c>
      <c r="O303" s="24" t="inlineStr"/>
    </row>
    <row r="304">
      <c r="A304" t="inlineStr">
        <is>
          <t>R7.46</t>
        </is>
      </c>
      <c r="B304" t="inlineStr">
        <is>
          <t>sensitive</t>
        </is>
      </c>
      <c r="C304" s="24" t="inlineStr">
        <is>
          <t>embeddingbag_asl</t>
        </is>
      </c>
      <c r="D304" s="24" t="inlineStr">
        <is>
          <t>openpii_pii_eval_38k</t>
        </is>
      </c>
      <c r="E304" t="inlineStr">
        <is>
          <t>T1</t>
        </is>
      </c>
      <c r="F304" s="25" t="n"/>
      <c r="G304" t="inlineStr">
        <is>
          <t>priority_measurable</t>
        </is>
      </c>
      <c r="H304" s="26" t="n">
        <v>9</v>
      </c>
      <c r="I304" s="26" t="n"/>
      <c r="J304" s="26" t="n"/>
      <c r="M304" t="inlineStr"/>
      <c r="N304" t="inlineStr"/>
      <c r="O304" s="24" t="inlineStr"/>
    </row>
    <row r="305">
      <c r="A305" t="inlineStr">
        <is>
          <t>R7.46</t>
        </is>
      </c>
      <c r="B305" t="inlineStr">
        <is>
          <t>sensitive</t>
        </is>
      </c>
      <c r="C305" s="24" t="inlineStr">
        <is>
          <t>embeddingbag_asl</t>
        </is>
      </c>
      <c r="D305" s="24" t="inlineStr">
        <is>
          <t>openpii_pii_eval_38k</t>
        </is>
      </c>
      <c r="E305" t="inlineStr">
        <is>
          <t>T1</t>
        </is>
      </c>
      <c r="F305" s="25" t="n"/>
      <c r="G305" t="inlineStr">
        <is>
          <t>priority_point_passes</t>
        </is>
      </c>
      <c r="H305" s="26" t="n">
        <v>8</v>
      </c>
      <c r="I305" s="26" t="n"/>
      <c r="J305" s="26" t="n"/>
      <c r="M305" t="inlineStr"/>
      <c r="N305" t="inlineStr"/>
      <c r="O305" s="24" t="inlineStr"/>
    </row>
    <row r="306">
      <c r="A306" t="inlineStr">
        <is>
          <t>R7.46</t>
        </is>
      </c>
      <c r="B306" t="inlineStr">
        <is>
          <t>sensitive</t>
        </is>
      </c>
      <c r="C306" s="24" t="inlineStr">
        <is>
          <t>embeddingbag_asl</t>
        </is>
      </c>
      <c r="D306" s="24" t="inlineStr">
        <is>
          <t>openpii_pii_eval_38k</t>
        </is>
      </c>
      <c r="E306" t="inlineStr">
        <is>
          <t>T1</t>
        </is>
      </c>
      <c r="F306" s="25" t="n"/>
      <c r="G306" t="inlineStr">
        <is>
          <t>worst_priority_recall</t>
        </is>
      </c>
      <c r="H306" s="26" t="n">
        <v>0.8955896243551551</v>
      </c>
      <c r="I306" s="26" t="n"/>
      <c r="J306" s="26" t="n"/>
      <c r="M306" t="inlineStr"/>
      <c r="N306" t="inlineStr"/>
      <c r="O306" s="24" t="inlineStr"/>
    </row>
    <row r="307">
      <c r="A307" t="inlineStr">
        <is>
          <t>R7.47</t>
        </is>
      </c>
      <c r="B307" t="inlineStr">
        <is>
          <t>sensitive</t>
        </is>
      </c>
      <c r="C307" s="24" t="inlineStr">
        <is>
          <t>embeddingbag_asl</t>
        </is>
      </c>
      <c r="D307" s="24" t="inlineStr">
        <is>
          <t>pii2_eval_30k</t>
        </is>
      </c>
      <c r="E307" t="inlineStr">
        <is>
          <t>T1</t>
        </is>
      </c>
      <c r="F307" s="25" t="n"/>
      <c r="G307" t="inlineStr">
        <is>
          <t>docs_per_s</t>
        </is>
      </c>
      <c r="H307" s="26" t="n">
        <v>7105.771328809177</v>
      </c>
      <c r="I307" s="26" t="n"/>
      <c r="J307" s="26" t="n"/>
      <c r="M307" t="inlineStr"/>
      <c r="N307" t="inlineStr"/>
      <c r="O307" s="24" t="inlineStr"/>
    </row>
    <row r="308">
      <c r="A308" t="inlineStr">
        <is>
          <t>R7.47</t>
        </is>
      </c>
      <c r="B308" t="inlineStr">
        <is>
          <t>sensitive</t>
        </is>
      </c>
      <c r="C308" s="24" t="inlineStr">
        <is>
          <t>embeddingbag_asl</t>
        </is>
      </c>
      <c r="D308" s="24" t="inlineStr">
        <is>
          <t>pii2_eval_30k</t>
        </is>
      </c>
      <c r="E308" t="inlineStr">
        <is>
          <t>T1</t>
        </is>
      </c>
      <c r="F308" s="25" t="n"/>
      <c r="G308" t="inlineStr">
        <is>
          <t>macro_f2</t>
        </is>
      </c>
      <c r="H308" s="26" t="n">
        <v>0.4893179263569084</v>
      </c>
      <c r="I308" s="26" t="n"/>
      <c r="J308" s="26" t="n"/>
      <c r="M308" t="inlineStr"/>
      <c r="N308" t="inlineStr"/>
      <c r="O308" s="24" t="inlineStr"/>
    </row>
    <row r="309">
      <c r="A309" t="inlineStr">
        <is>
          <t>R7.47</t>
        </is>
      </c>
      <c r="B309" t="inlineStr">
        <is>
          <t>sensitive</t>
        </is>
      </c>
      <c r="C309" s="24" t="inlineStr">
        <is>
          <t>embeddingbag_asl</t>
        </is>
      </c>
      <c r="D309" s="24" t="inlineStr">
        <is>
          <t>pii2_eval_30k</t>
        </is>
      </c>
      <c r="E309" t="inlineStr">
        <is>
          <t>T1</t>
        </is>
      </c>
      <c r="F309" s="25" t="n"/>
      <c r="G309" t="inlineStr">
        <is>
          <t>micro_f1</t>
        </is>
      </c>
      <c r="H309" s="26" t="n">
        <v>0.3424173481194503</v>
      </c>
      <c r="I309" s="26" t="n"/>
      <c r="J309" s="26" t="n"/>
      <c r="M309" t="inlineStr"/>
      <c r="N309" t="inlineStr">
        <is>
          <t>yes</t>
        </is>
      </c>
      <c r="O309" s="24" t="inlineStr"/>
    </row>
    <row r="310">
      <c r="A310" t="inlineStr">
        <is>
          <t>R7.47</t>
        </is>
      </c>
      <c r="B310" t="inlineStr">
        <is>
          <t>sensitive</t>
        </is>
      </c>
      <c r="C310" s="24" t="inlineStr">
        <is>
          <t>embeddingbag_asl</t>
        </is>
      </c>
      <c r="D310" s="24" t="inlineStr">
        <is>
          <t>pii2_eval_30k</t>
        </is>
      </c>
      <c r="E310" t="inlineStr">
        <is>
          <t>T1</t>
        </is>
      </c>
      <c r="F310" s="25" t="n"/>
      <c r="G310" t="inlineStr">
        <is>
          <t>priority_measurable</t>
        </is>
      </c>
      <c r="H310" s="26" t="n">
        <v>15</v>
      </c>
      <c r="I310" s="26" t="n"/>
      <c r="J310" s="26" t="n"/>
      <c r="M310" t="inlineStr"/>
      <c r="N310" t="inlineStr"/>
      <c r="O310" s="24" t="inlineStr"/>
    </row>
    <row r="311">
      <c r="A311" t="inlineStr">
        <is>
          <t>R7.47</t>
        </is>
      </c>
      <c r="B311" t="inlineStr">
        <is>
          <t>sensitive</t>
        </is>
      </c>
      <c r="C311" s="24" t="inlineStr">
        <is>
          <t>embeddingbag_asl</t>
        </is>
      </c>
      <c r="D311" s="24" t="inlineStr">
        <is>
          <t>pii2_eval_30k</t>
        </is>
      </c>
      <c r="E311" t="inlineStr">
        <is>
          <t>T1</t>
        </is>
      </c>
      <c r="F311" s="25" t="n"/>
      <c r="G311" t="inlineStr">
        <is>
          <t>priority_point_passes</t>
        </is>
      </c>
      <c r="H311" s="26" t="n">
        <v>15</v>
      </c>
      <c r="I311" s="26" t="n"/>
      <c r="J311" s="26" t="n"/>
      <c r="M311" t="inlineStr"/>
      <c r="N311" t="inlineStr"/>
      <c r="O311" s="24" t="inlineStr"/>
    </row>
    <row r="312">
      <c r="A312" t="inlineStr">
        <is>
          <t>R7.47</t>
        </is>
      </c>
      <c r="B312" t="inlineStr">
        <is>
          <t>sensitive</t>
        </is>
      </c>
      <c r="C312" s="24" t="inlineStr">
        <is>
          <t>embeddingbag_asl</t>
        </is>
      </c>
      <c r="D312" s="24" t="inlineStr">
        <is>
          <t>pii2_eval_30k</t>
        </is>
      </c>
      <c r="E312" t="inlineStr">
        <is>
          <t>T1</t>
        </is>
      </c>
      <c r="F312" s="25" t="n"/>
      <c r="G312" t="inlineStr">
        <is>
          <t>worst_priority_recall</t>
        </is>
      </c>
      <c r="H312" s="26" t="n">
        <v>0.9623971797884842</v>
      </c>
      <c r="I312" s="26" t="n"/>
      <c r="J312" s="26" t="n"/>
      <c r="M312" t="inlineStr"/>
      <c r="N312" t="inlineStr"/>
      <c r="O312" s="24" t="inlineStr"/>
    </row>
    <row r="313">
      <c r="A313" t="inlineStr">
        <is>
          <t>R7.48</t>
        </is>
      </c>
      <c r="B313" t="inlineStr">
        <is>
          <t>sensitive</t>
        </is>
      </c>
      <c r="C313" s="24" t="inlineStr">
        <is>
          <t>embeddingbag_asl</t>
        </is>
      </c>
      <c r="D313" s="24" t="inlineStr">
        <is>
          <t>pii_holdout_20k</t>
        </is>
      </c>
      <c r="E313" t="inlineStr">
        <is>
          <t>T1</t>
        </is>
      </c>
      <c r="F313" s="25" t="n"/>
      <c r="G313" t="inlineStr">
        <is>
          <t>docs_per_s</t>
        </is>
      </c>
      <c r="H313" s="26" t="n">
        <v>8135.909419847241</v>
      </c>
      <c r="I313" s="26" t="n"/>
      <c r="J313" s="26" t="n"/>
      <c r="M313" t="inlineStr"/>
      <c r="N313" t="inlineStr"/>
      <c r="O313" s="24" t="inlineStr"/>
    </row>
    <row r="314">
      <c r="A314" t="inlineStr">
        <is>
          <t>R7.48</t>
        </is>
      </c>
      <c r="B314" t="inlineStr">
        <is>
          <t>sensitive</t>
        </is>
      </c>
      <c r="C314" s="24" t="inlineStr">
        <is>
          <t>embeddingbag_asl</t>
        </is>
      </c>
      <c r="D314" s="24" t="inlineStr">
        <is>
          <t>pii_holdout_20k</t>
        </is>
      </c>
      <c r="E314" t="inlineStr">
        <is>
          <t>T1</t>
        </is>
      </c>
      <c r="F314" s="25" t="n"/>
      <c r="G314" t="inlineStr">
        <is>
          <t>macro_f2</t>
        </is>
      </c>
      <c r="H314" s="26" t="n">
        <v>0.5755986305974792</v>
      </c>
      <c r="I314" s="26" t="n"/>
      <c r="J314" s="26" t="n"/>
      <c r="M314" t="inlineStr"/>
      <c r="N314" t="inlineStr"/>
      <c r="O314" s="24" t="inlineStr"/>
    </row>
    <row r="315">
      <c r="A315" t="inlineStr">
        <is>
          <t>R7.48</t>
        </is>
      </c>
      <c r="B315" t="inlineStr">
        <is>
          <t>sensitive</t>
        </is>
      </c>
      <c r="C315" s="24" t="inlineStr">
        <is>
          <t>embeddingbag_asl</t>
        </is>
      </c>
      <c r="D315" s="24" t="inlineStr">
        <is>
          <t>pii_holdout_20k</t>
        </is>
      </c>
      <c r="E315" t="inlineStr">
        <is>
          <t>T1</t>
        </is>
      </c>
      <c r="F315" s="25" t="n"/>
      <c r="G315" t="inlineStr">
        <is>
          <t>micro_f1</t>
        </is>
      </c>
      <c r="H315" s="26" t="n">
        <v>0.6312815393492018</v>
      </c>
      <c r="I315" s="26" t="n"/>
      <c r="J315" s="26" t="n"/>
      <c r="M315" t="inlineStr"/>
      <c r="N315" t="inlineStr">
        <is>
          <t>yes</t>
        </is>
      </c>
      <c r="O315" s="24" t="inlineStr"/>
    </row>
    <row r="316">
      <c r="A316" t="inlineStr">
        <is>
          <t>R7.48</t>
        </is>
      </c>
      <c r="B316" t="inlineStr">
        <is>
          <t>sensitive</t>
        </is>
      </c>
      <c r="C316" s="24" t="inlineStr">
        <is>
          <t>embeddingbag_asl</t>
        </is>
      </c>
      <c r="D316" s="24" t="inlineStr">
        <is>
          <t>pii_holdout_20k</t>
        </is>
      </c>
      <c r="E316" t="inlineStr">
        <is>
          <t>T1</t>
        </is>
      </c>
      <c r="F316" s="25" t="n"/>
      <c r="G316" t="inlineStr">
        <is>
          <t>priority_measurable</t>
        </is>
      </c>
      <c r="H316" s="26" t="n">
        <v>14</v>
      </c>
      <c r="I316" s="26" t="n"/>
      <c r="J316" s="26" t="n"/>
      <c r="M316" t="inlineStr"/>
      <c r="N316" t="inlineStr"/>
      <c r="O316" s="24" t="inlineStr"/>
    </row>
    <row r="317">
      <c r="A317" t="inlineStr">
        <is>
          <t>R7.48</t>
        </is>
      </c>
      <c r="B317" t="inlineStr">
        <is>
          <t>sensitive</t>
        </is>
      </c>
      <c r="C317" s="24" t="inlineStr">
        <is>
          <t>embeddingbag_asl</t>
        </is>
      </c>
      <c r="D317" s="24" t="inlineStr">
        <is>
          <t>pii_holdout_20k</t>
        </is>
      </c>
      <c r="E317" t="inlineStr">
        <is>
          <t>T1</t>
        </is>
      </c>
      <c r="F317" s="25" t="n"/>
      <c r="G317" t="inlineStr">
        <is>
          <t>priority_point_passes</t>
        </is>
      </c>
      <c r="H317" s="26" t="n">
        <v>14</v>
      </c>
      <c r="I317" s="26" t="n"/>
      <c r="J317" s="26" t="n"/>
      <c r="M317" t="inlineStr"/>
      <c r="N317" t="inlineStr"/>
      <c r="O317" s="24" t="inlineStr"/>
    </row>
    <row r="318">
      <c r="A318" t="inlineStr">
        <is>
          <t>R7.48</t>
        </is>
      </c>
      <c r="B318" t="inlineStr">
        <is>
          <t>sensitive</t>
        </is>
      </c>
      <c r="C318" s="24" t="inlineStr">
        <is>
          <t>embeddingbag_asl</t>
        </is>
      </c>
      <c r="D318" s="24" t="inlineStr">
        <is>
          <t>pii_holdout_20k</t>
        </is>
      </c>
      <c r="E318" t="inlineStr">
        <is>
          <t>T1</t>
        </is>
      </c>
      <c r="F318" s="25" t="n"/>
      <c r="G318" t="inlineStr">
        <is>
          <t>worst_priority_recall</t>
        </is>
      </c>
      <c r="H318" s="26" t="n">
        <v>0.9124293785310734</v>
      </c>
      <c r="I318" s="26" t="n"/>
      <c r="J318" s="26" t="n"/>
      <c r="M318" t="inlineStr"/>
      <c r="N318" t="inlineStr"/>
      <c r="O318" s="24" t="inlineStr"/>
    </row>
    <row r="319">
      <c r="A319" t="inlineStr">
        <is>
          <t>R7.49</t>
        </is>
      </c>
      <c r="B319" t="inlineStr">
        <is>
          <t>sensitive</t>
        </is>
      </c>
      <c r="C319" s="24" t="inlineStr">
        <is>
          <t>hybrid_priority</t>
        </is>
      </c>
      <c r="D319" s="24" t="inlineStr">
        <is>
          <t>4000_datax-dualjudge-evalset-1.32k</t>
        </is>
      </c>
      <c r="E319" t="inlineStr">
        <is>
          <t>T1</t>
        </is>
      </c>
      <c r="F319" s="25" t="n"/>
      <c r="G319" t="inlineStr">
        <is>
          <t>docs_per_s</t>
        </is>
      </c>
      <c r="H319" s="26" t="n">
        <v>1877.70842540815</v>
      </c>
      <c r="I319" s="26" t="n"/>
      <c r="J319" s="26" t="n"/>
      <c r="M319" t="inlineStr"/>
      <c r="N319" t="inlineStr"/>
      <c r="O319" s="24" t="inlineStr"/>
    </row>
    <row r="320">
      <c r="A320" t="inlineStr">
        <is>
          <t>R7.49</t>
        </is>
      </c>
      <c r="B320" t="inlineStr">
        <is>
          <t>sensitive</t>
        </is>
      </c>
      <c r="C320" s="24" t="inlineStr">
        <is>
          <t>hybrid_priority</t>
        </is>
      </c>
      <c r="D320" s="24" t="inlineStr">
        <is>
          <t>4000_datax-dualjudge-evalset-1.32k</t>
        </is>
      </c>
      <c r="E320" t="inlineStr">
        <is>
          <t>T1</t>
        </is>
      </c>
      <c r="F320" s="25" t="n"/>
      <c r="G320" t="inlineStr">
        <is>
          <t>macro_f2</t>
        </is>
      </c>
      <c r="H320" s="26" t="n"/>
      <c r="I320" s="26" t="n"/>
      <c r="J320" s="26" t="n"/>
      <c r="M320" t="inlineStr"/>
      <c r="N320" t="inlineStr"/>
      <c r="O320" s="24" t="inlineStr"/>
    </row>
    <row r="321">
      <c r="A321" t="inlineStr">
        <is>
          <t>R7.49</t>
        </is>
      </c>
      <c r="B321" t="inlineStr">
        <is>
          <t>sensitive</t>
        </is>
      </c>
      <c r="C321" s="24" t="inlineStr">
        <is>
          <t>hybrid_priority</t>
        </is>
      </c>
      <c r="D321" s="24" t="inlineStr">
        <is>
          <t>4000_datax-dualjudge-evalset-1.32k</t>
        </is>
      </c>
      <c r="E321" t="inlineStr">
        <is>
          <t>T1</t>
        </is>
      </c>
      <c r="F321" s="25" t="n"/>
      <c r="G321" t="inlineStr">
        <is>
          <t>micro_f1</t>
        </is>
      </c>
      <c r="H321" s="26" t="n"/>
      <c r="I321" s="26" t="n"/>
      <c r="J321" s="26" t="n"/>
      <c r="M321" t="inlineStr"/>
      <c r="N321" t="inlineStr"/>
      <c r="O321" s="24" t="inlineStr"/>
    </row>
    <row r="322">
      <c r="A322" t="inlineStr">
        <is>
          <t>R7.49</t>
        </is>
      </c>
      <c r="B322" t="inlineStr">
        <is>
          <t>sensitive</t>
        </is>
      </c>
      <c r="C322" s="24" t="inlineStr">
        <is>
          <t>hybrid_priority</t>
        </is>
      </c>
      <c r="D322" s="24" t="inlineStr">
        <is>
          <t>4000_datax-dualjudge-evalset-1.32k</t>
        </is>
      </c>
      <c r="E322" t="inlineStr">
        <is>
          <t>T1</t>
        </is>
      </c>
      <c r="F322" s="25" t="n"/>
      <c r="G322" t="inlineStr">
        <is>
          <t>priority_measurable</t>
        </is>
      </c>
      <c r="H322" s="26" t="n">
        <v>1</v>
      </c>
      <c r="I322" s="26" t="n"/>
      <c r="J322" s="26" t="n"/>
      <c r="M322" t="inlineStr"/>
      <c r="N322" t="inlineStr"/>
      <c r="O322" s="24" t="inlineStr"/>
    </row>
    <row r="323">
      <c r="A323" t="inlineStr">
        <is>
          <t>R7.49</t>
        </is>
      </c>
      <c r="B323" t="inlineStr">
        <is>
          <t>sensitive</t>
        </is>
      </c>
      <c r="C323" s="24" t="inlineStr">
        <is>
          <t>hybrid_priority</t>
        </is>
      </c>
      <c r="D323" s="24" t="inlineStr">
        <is>
          <t>4000_datax-dualjudge-evalset-1.32k</t>
        </is>
      </c>
      <c r="E323" t="inlineStr">
        <is>
          <t>T1</t>
        </is>
      </c>
      <c r="F323" s="25" t="n"/>
      <c r="G323" t="inlineStr">
        <is>
          <t>priority_point_passes</t>
        </is>
      </c>
      <c r="H323" s="26" t="n">
        <v>1</v>
      </c>
      <c r="I323" s="26" t="n"/>
      <c r="J323" s="26" t="n"/>
      <c r="M323" t="inlineStr"/>
      <c r="N323" t="inlineStr"/>
      <c r="O323" s="24" t="inlineStr"/>
    </row>
    <row r="324">
      <c r="A324" t="inlineStr">
        <is>
          <t>R7.49</t>
        </is>
      </c>
      <c r="B324" t="inlineStr">
        <is>
          <t>sensitive</t>
        </is>
      </c>
      <c r="C324" s="24" t="inlineStr">
        <is>
          <t>hybrid_priority</t>
        </is>
      </c>
      <c r="D324" s="24" t="inlineStr">
        <is>
          <t>4000_datax-dualjudge-evalset-1.32k</t>
        </is>
      </c>
      <c r="E324" t="inlineStr">
        <is>
          <t>T1</t>
        </is>
      </c>
      <c r="F324" s="25" t="n"/>
      <c r="G324" t="inlineStr">
        <is>
          <t>worst_priority_recall</t>
        </is>
      </c>
      <c r="H324" s="26" t="n">
        <v>1</v>
      </c>
      <c r="I324" s="26" t="n"/>
      <c r="J324" s="26" t="n"/>
      <c r="M324" t="inlineStr"/>
      <c r="N324" t="inlineStr"/>
      <c r="O324" s="24" t="inlineStr"/>
    </row>
    <row r="325">
      <c r="A325" t="inlineStr">
        <is>
          <t>R7.50</t>
        </is>
      </c>
      <c r="B325" t="inlineStr">
        <is>
          <t>sensitive</t>
        </is>
      </c>
      <c r="C325" s="24" t="inlineStr">
        <is>
          <t>hybrid_priority</t>
        </is>
      </c>
      <c r="D325" s="24" t="inlineStr">
        <is>
          <t>6589_govdocs2-dualjudge-eval20-3.53k</t>
        </is>
      </c>
      <c r="E325" t="inlineStr">
        <is>
          <t>T1</t>
        </is>
      </c>
      <c r="F325" s="25" t="n"/>
      <c r="G325" t="inlineStr">
        <is>
          <t>docs_per_s</t>
        </is>
      </c>
      <c r="H325" s="26" t="n">
        <v>1899.365791852351</v>
      </c>
      <c r="I325" s="26" t="n"/>
      <c r="J325" s="26" t="n"/>
      <c r="M325" t="inlineStr"/>
      <c r="N325" t="inlineStr"/>
      <c r="O325" s="24" t="inlineStr"/>
    </row>
    <row r="326">
      <c r="A326" t="inlineStr">
        <is>
          <t>R7.50</t>
        </is>
      </c>
      <c r="B326" t="inlineStr">
        <is>
          <t>sensitive</t>
        </is>
      </c>
      <c r="C326" s="24" t="inlineStr">
        <is>
          <t>hybrid_priority</t>
        </is>
      </c>
      <c r="D326" s="24" t="inlineStr">
        <is>
          <t>6589_govdocs2-dualjudge-eval20-3.53k</t>
        </is>
      </c>
      <c r="E326" t="inlineStr">
        <is>
          <t>T1</t>
        </is>
      </c>
      <c r="F326" s="25" t="n"/>
      <c r="G326" t="inlineStr">
        <is>
          <t>macro_f2</t>
        </is>
      </c>
      <c r="H326" s="26" t="n"/>
      <c r="I326" s="26" t="n"/>
      <c r="J326" s="26" t="n"/>
      <c r="M326" t="inlineStr"/>
      <c r="N326" t="inlineStr"/>
      <c r="O326" s="24" t="inlineStr"/>
    </row>
    <row r="327">
      <c r="A327" t="inlineStr">
        <is>
          <t>R7.50</t>
        </is>
      </c>
      <c r="B327" t="inlineStr">
        <is>
          <t>sensitive</t>
        </is>
      </c>
      <c r="C327" s="24" t="inlineStr">
        <is>
          <t>hybrid_priority</t>
        </is>
      </c>
      <c r="D327" s="24" t="inlineStr">
        <is>
          <t>6589_govdocs2-dualjudge-eval20-3.53k</t>
        </is>
      </c>
      <c r="E327" t="inlineStr">
        <is>
          <t>T1</t>
        </is>
      </c>
      <c r="F327" s="25" t="n"/>
      <c r="G327" t="inlineStr">
        <is>
          <t>micro_f1</t>
        </is>
      </c>
      <c r="H327" s="26" t="n"/>
      <c r="I327" s="26" t="n"/>
      <c r="J327" s="26" t="n"/>
      <c r="M327" t="inlineStr"/>
      <c r="N327" t="inlineStr"/>
      <c r="O327" s="24" t="inlineStr"/>
    </row>
    <row r="328">
      <c r="A328" t="inlineStr">
        <is>
          <t>R7.50</t>
        </is>
      </c>
      <c r="B328" t="inlineStr">
        <is>
          <t>sensitive</t>
        </is>
      </c>
      <c r="C328" s="24" t="inlineStr">
        <is>
          <t>hybrid_priority</t>
        </is>
      </c>
      <c r="D328" s="24" t="inlineStr">
        <is>
          <t>6589_govdocs2-dualjudge-eval20-3.53k</t>
        </is>
      </c>
      <c r="E328" t="inlineStr">
        <is>
          <t>T1</t>
        </is>
      </c>
      <c r="F328" s="25" t="n"/>
      <c r="G328" t="inlineStr">
        <is>
          <t>priority_measurable</t>
        </is>
      </c>
      <c r="H328" s="26" t="n">
        <v>2</v>
      </c>
      <c r="I328" s="26" t="n"/>
      <c r="J328" s="26" t="n"/>
      <c r="M328" t="inlineStr"/>
      <c r="N328" t="inlineStr"/>
      <c r="O328" s="24" t="inlineStr"/>
    </row>
    <row r="329">
      <c r="A329" t="inlineStr">
        <is>
          <t>R7.50</t>
        </is>
      </c>
      <c r="B329" t="inlineStr">
        <is>
          <t>sensitive</t>
        </is>
      </c>
      <c r="C329" s="24" t="inlineStr">
        <is>
          <t>hybrid_priority</t>
        </is>
      </c>
      <c r="D329" s="24" t="inlineStr">
        <is>
          <t>6589_govdocs2-dualjudge-eval20-3.53k</t>
        </is>
      </c>
      <c r="E329" t="inlineStr">
        <is>
          <t>T1</t>
        </is>
      </c>
      <c r="F329" s="25" t="n"/>
      <c r="G329" t="inlineStr">
        <is>
          <t>priority_point_passes</t>
        </is>
      </c>
      <c r="H329" s="26" t="n">
        <v>2</v>
      </c>
      <c r="I329" s="26" t="n"/>
      <c r="J329" s="26" t="n"/>
      <c r="M329" t="inlineStr"/>
      <c r="N329" t="inlineStr"/>
      <c r="O329" s="24" t="inlineStr"/>
    </row>
    <row r="330">
      <c r="A330" t="inlineStr">
        <is>
          <t>R7.50</t>
        </is>
      </c>
      <c r="B330" t="inlineStr">
        <is>
          <t>sensitive</t>
        </is>
      </c>
      <c r="C330" s="24" t="inlineStr">
        <is>
          <t>hybrid_priority</t>
        </is>
      </c>
      <c r="D330" s="24" t="inlineStr">
        <is>
          <t>6589_govdocs2-dualjudge-eval20-3.53k</t>
        </is>
      </c>
      <c r="E330" t="inlineStr">
        <is>
          <t>T1</t>
        </is>
      </c>
      <c r="F330" s="25" t="n"/>
      <c r="G330" t="inlineStr">
        <is>
          <t>worst_priority_recall</t>
        </is>
      </c>
      <c r="H330" s="26" t="n">
        <v>0.9966329966329966</v>
      </c>
      <c r="I330" s="26" t="n"/>
      <c r="J330" s="26" t="n"/>
      <c r="M330" t="inlineStr"/>
      <c r="N330" t="inlineStr"/>
      <c r="O330" s="24" t="inlineStr"/>
    </row>
    <row r="331">
      <c r="A331" t="inlineStr">
        <is>
          <t>R7.51</t>
        </is>
      </c>
      <c r="B331" t="inlineStr">
        <is>
          <t>sensitive</t>
        </is>
      </c>
      <c r="C331" s="24" t="inlineStr">
        <is>
          <t>hybrid_priority</t>
        </is>
      </c>
      <c r="D331" s="24" t="inlineStr">
        <is>
          <t>ai4privacy_pii_masking_eval_10k</t>
        </is>
      </c>
      <c r="E331" t="inlineStr">
        <is>
          <t>T1</t>
        </is>
      </c>
      <c r="F331" s="25" t="n"/>
      <c r="G331" t="inlineStr">
        <is>
          <t>docs_per_s</t>
        </is>
      </c>
      <c r="H331" s="26" t="n">
        <v>27635.82528878041</v>
      </c>
      <c r="I331" s="26" t="n"/>
      <c r="J331" s="26" t="n"/>
      <c r="M331" t="inlineStr"/>
      <c r="N331" t="inlineStr"/>
      <c r="O331" s="24" t="inlineStr"/>
    </row>
    <row r="332">
      <c r="A332" t="inlineStr">
        <is>
          <t>R7.51</t>
        </is>
      </c>
      <c r="B332" t="inlineStr">
        <is>
          <t>sensitive</t>
        </is>
      </c>
      <c r="C332" s="24" t="inlineStr">
        <is>
          <t>hybrid_priority</t>
        </is>
      </c>
      <c r="D332" s="24" t="inlineStr">
        <is>
          <t>ai4privacy_pii_masking_eval_10k</t>
        </is>
      </c>
      <c r="E332" t="inlineStr">
        <is>
          <t>T1</t>
        </is>
      </c>
      <c r="F332" s="25" t="n"/>
      <c r="G332" t="inlineStr">
        <is>
          <t>macro_f2</t>
        </is>
      </c>
      <c r="H332" s="26" t="n">
        <v>0.4999957282114783</v>
      </c>
      <c r="I332" s="26" t="n"/>
      <c r="J332" s="26" t="n"/>
      <c r="M332" t="inlineStr"/>
      <c r="N332" t="inlineStr"/>
      <c r="O332" s="24" t="inlineStr"/>
    </row>
    <row r="333">
      <c r="A333" t="inlineStr">
        <is>
          <t>R7.51</t>
        </is>
      </c>
      <c r="B333" t="inlineStr">
        <is>
          <t>sensitive</t>
        </is>
      </c>
      <c r="C333" s="24" t="inlineStr">
        <is>
          <t>hybrid_priority</t>
        </is>
      </c>
      <c r="D333" s="24" t="inlineStr">
        <is>
          <t>ai4privacy_pii_masking_eval_10k</t>
        </is>
      </c>
      <c r="E333" t="inlineStr">
        <is>
          <t>T1</t>
        </is>
      </c>
      <c r="F333" s="25" t="n"/>
      <c r="G333" t="inlineStr">
        <is>
          <t>micro_f1</t>
        </is>
      </c>
      <c r="H333" s="26" t="n">
        <v>0.3530025168487251</v>
      </c>
      <c r="I333" s="26" t="n"/>
      <c r="J333" s="26" t="n"/>
      <c r="M333" t="inlineStr"/>
      <c r="N333" t="inlineStr">
        <is>
          <t>yes</t>
        </is>
      </c>
      <c r="O333" s="24" t="inlineStr"/>
    </row>
    <row r="334">
      <c r="A334" t="inlineStr">
        <is>
          <t>R7.51</t>
        </is>
      </c>
      <c r="B334" t="inlineStr">
        <is>
          <t>sensitive</t>
        </is>
      </c>
      <c r="C334" s="24" t="inlineStr">
        <is>
          <t>hybrid_priority</t>
        </is>
      </c>
      <c r="D334" s="24" t="inlineStr">
        <is>
          <t>ai4privacy_pii_masking_eval_10k</t>
        </is>
      </c>
      <c r="E334" t="inlineStr">
        <is>
          <t>T1</t>
        </is>
      </c>
      <c r="F334" s="25" t="n"/>
      <c r="G334" t="inlineStr">
        <is>
          <t>priority_measurable</t>
        </is>
      </c>
      <c r="H334" s="26" t="n">
        <v>10</v>
      </c>
      <c r="I334" s="26" t="n"/>
      <c r="J334" s="26" t="n"/>
      <c r="M334" t="inlineStr"/>
      <c r="N334" t="inlineStr"/>
      <c r="O334" s="24" t="inlineStr"/>
    </row>
    <row r="335">
      <c r="A335" t="inlineStr">
        <is>
          <t>R7.51</t>
        </is>
      </c>
      <c r="B335" t="inlineStr">
        <is>
          <t>sensitive</t>
        </is>
      </c>
      <c r="C335" s="24" t="inlineStr">
        <is>
          <t>hybrid_priority</t>
        </is>
      </c>
      <c r="D335" s="24" t="inlineStr">
        <is>
          <t>ai4privacy_pii_masking_eval_10k</t>
        </is>
      </c>
      <c r="E335" t="inlineStr">
        <is>
          <t>T1</t>
        </is>
      </c>
      <c r="F335" s="25" t="n"/>
      <c r="G335" t="inlineStr">
        <is>
          <t>priority_point_passes</t>
        </is>
      </c>
      <c r="H335" s="26" t="n">
        <v>10</v>
      </c>
      <c r="I335" s="26" t="n"/>
      <c r="J335" s="26" t="n"/>
      <c r="M335" t="inlineStr"/>
      <c r="N335" t="inlineStr"/>
      <c r="O335" s="24" t="inlineStr"/>
    </row>
    <row r="336">
      <c r="A336" t="inlineStr">
        <is>
          <t>R7.51</t>
        </is>
      </c>
      <c r="B336" t="inlineStr">
        <is>
          <t>sensitive</t>
        </is>
      </c>
      <c r="C336" s="24" t="inlineStr">
        <is>
          <t>hybrid_priority</t>
        </is>
      </c>
      <c r="D336" s="24" t="inlineStr">
        <is>
          <t>ai4privacy_pii_masking_eval_10k</t>
        </is>
      </c>
      <c r="E336" t="inlineStr">
        <is>
          <t>T1</t>
        </is>
      </c>
      <c r="F336" s="25" t="n"/>
      <c r="G336" t="inlineStr">
        <is>
          <t>worst_priority_recall</t>
        </is>
      </c>
      <c r="H336" s="26" t="n">
        <v>0.9990925589836661</v>
      </c>
      <c r="I336" s="26" t="n"/>
      <c r="J336" s="26" t="n"/>
      <c r="M336" t="inlineStr"/>
      <c r="N336" t="inlineStr"/>
      <c r="O336" s="24" t="inlineStr"/>
    </row>
    <row r="337">
      <c r="A337" t="inlineStr">
        <is>
          <t>R7.52</t>
        </is>
      </c>
      <c r="B337" t="inlineStr">
        <is>
          <t>sensitive</t>
        </is>
      </c>
      <c r="C337" s="24" t="inlineStr">
        <is>
          <t>hybrid_priority</t>
        </is>
      </c>
      <c r="D337" s="24" t="inlineStr">
        <is>
          <t>betterdataai_ner_silver_eval_10k</t>
        </is>
      </c>
      <c r="E337" t="inlineStr">
        <is>
          <t>T1</t>
        </is>
      </c>
      <c r="F337" s="25" t="n"/>
      <c r="G337" t="inlineStr">
        <is>
          <t>docs_per_s</t>
        </is>
      </c>
      <c r="H337" s="26" t="n">
        <v>20384.39707532028</v>
      </c>
      <c r="I337" s="26" t="n"/>
      <c r="J337" s="26" t="n"/>
      <c r="M337" t="inlineStr"/>
      <c r="N337" t="inlineStr"/>
      <c r="O337" s="24" t="inlineStr"/>
    </row>
    <row r="338">
      <c r="A338" t="inlineStr">
        <is>
          <t>R7.52</t>
        </is>
      </c>
      <c r="B338" t="inlineStr">
        <is>
          <t>sensitive</t>
        </is>
      </c>
      <c r="C338" s="24" t="inlineStr">
        <is>
          <t>hybrid_priority</t>
        </is>
      </c>
      <c r="D338" s="24" t="inlineStr">
        <is>
          <t>betterdataai_ner_silver_eval_10k</t>
        </is>
      </c>
      <c r="E338" t="inlineStr">
        <is>
          <t>T1</t>
        </is>
      </c>
      <c r="F338" s="25" t="n"/>
      <c r="G338" t="inlineStr">
        <is>
          <t>macro_f2</t>
        </is>
      </c>
      <c r="H338" s="26" t="n">
        <v>0.2312503612791334</v>
      </c>
      <c r="I338" s="26" t="n"/>
      <c r="J338" s="26" t="n"/>
      <c r="M338" t="inlineStr"/>
      <c r="N338" t="inlineStr"/>
      <c r="O338" s="24" t="inlineStr"/>
    </row>
    <row r="339">
      <c r="A339" t="inlineStr">
        <is>
          <t>R7.52</t>
        </is>
      </c>
      <c r="B339" t="inlineStr">
        <is>
          <t>sensitive</t>
        </is>
      </c>
      <c r="C339" s="24" t="inlineStr">
        <is>
          <t>hybrid_priority</t>
        </is>
      </c>
      <c r="D339" s="24" t="inlineStr">
        <is>
          <t>betterdataai_ner_silver_eval_10k</t>
        </is>
      </c>
      <c r="E339" t="inlineStr">
        <is>
          <t>T1</t>
        </is>
      </c>
      <c r="F339" s="25" t="n"/>
      <c r="G339" t="inlineStr">
        <is>
          <t>micro_f1</t>
        </is>
      </c>
      <c r="H339" s="26" t="n">
        <v>0.202152525351274</v>
      </c>
      <c r="I339" s="26" t="n"/>
      <c r="J339" s="26" t="n"/>
      <c r="M339" t="inlineStr"/>
      <c r="N339" t="inlineStr">
        <is>
          <t>yes</t>
        </is>
      </c>
      <c r="O339" s="24" t="inlineStr"/>
    </row>
    <row r="340">
      <c r="A340" t="inlineStr">
        <is>
          <t>R7.52</t>
        </is>
      </c>
      <c r="B340" t="inlineStr">
        <is>
          <t>sensitive</t>
        </is>
      </c>
      <c r="C340" s="24" t="inlineStr">
        <is>
          <t>hybrid_priority</t>
        </is>
      </c>
      <c r="D340" s="24" t="inlineStr">
        <is>
          <t>betterdataai_ner_silver_eval_10k</t>
        </is>
      </c>
      <c r="E340" t="inlineStr">
        <is>
          <t>T1</t>
        </is>
      </c>
      <c r="F340" s="25" t="n"/>
      <c r="G340" t="inlineStr">
        <is>
          <t>priority_measurable</t>
        </is>
      </c>
      <c r="H340" s="26" t="n">
        <v>4</v>
      </c>
      <c r="I340" s="26" t="n"/>
      <c r="J340" s="26" t="n"/>
      <c r="M340" t="inlineStr"/>
      <c r="N340" t="inlineStr"/>
      <c r="O340" s="24" t="inlineStr"/>
    </row>
    <row r="341">
      <c r="A341" t="inlineStr">
        <is>
          <t>R7.52</t>
        </is>
      </c>
      <c r="B341" t="inlineStr">
        <is>
          <t>sensitive</t>
        </is>
      </c>
      <c r="C341" s="24" t="inlineStr">
        <is>
          <t>hybrid_priority</t>
        </is>
      </c>
      <c r="D341" s="24" t="inlineStr">
        <is>
          <t>betterdataai_ner_silver_eval_10k</t>
        </is>
      </c>
      <c r="E341" t="inlineStr">
        <is>
          <t>T1</t>
        </is>
      </c>
      <c r="F341" s="25" t="n"/>
      <c r="G341" t="inlineStr">
        <is>
          <t>priority_point_passes</t>
        </is>
      </c>
      <c r="H341" s="26" t="n">
        <v>4</v>
      </c>
      <c r="I341" s="26" t="n"/>
      <c r="J341" s="26" t="n"/>
      <c r="M341" t="inlineStr"/>
      <c r="N341" t="inlineStr"/>
      <c r="O341" s="24" t="inlineStr"/>
    </row>
    <row r="342">
      <c r="A342" t="inlineStr">
        <is>
          <t>R7.52</t>
        </is>
      </c>
      <c r="B342" t="inlineStr">
        <is>
          <t>sensitive</t>
        </is>
      </c>
      <c r="C342" s="24" t="inlineStr">
        <is>
          <t>hybrid_priority</t>
        </is>
      </c>
      <c r="D342" s="24" t="inlineStr">
        <is>
          <t>betterdataai_ner_silver_eval_10k</t>
        </is>
      </c>
      <c r="E342" t="inlineStr">
        <is>
          <t>T1</t>
        </is>
      </c>
      <c r="F342" s="25" t="n"/>
      <c r="G342" t="inlineStr">
        <is>
          <t>worst_priority_recall</t>
        </is>
      </c>
      <c r="H342" s="26" t="n">
        <v>1</v>
      </c>
      <c r="I342" s="26" t="n"/>
      <c r="J342" s="26" t="n"/>
      <c r="M342" t="inlineStr"/>
      <c r="N342" t="inlineStr"/>
      <c r="O342" s="24" t="inlineStr"/>
    </row>
    <row r="343">
      <c r="A343" t="inlineStr">
        <is>
          <t>R7.53</t>
        </is>
      </c>
      <c r="B343" t="inlineStr">
        <is>
          <t>sensitive</t>
        </is>
      </c>
      <c r="C343" s="24" t="inlineStr">
        <is>
          <t>hybrid_priority</t>
        </is>
      </c>
      <c r="D343" s="24" t="inlineStr">
        <is>
          <t>nemotron_eval_6k</t>
        </is>
      </c>
      <c r="E343" t="inlineStr">
        <is>
          <t>T1</t>
        </is>
      </c>
      <c r="F343" s="25" t="n"/>
      <c r="G343" t="inlineStr">
        <is>
          <t>docs_per_s</t>
        </is>
      </c>
      <c r="H343" s="26" t="n">
        <v>10118.99208686514</v>
      </c>
      <c r="I343" s="26" t="n"/>
      <c r="J343" s="26" t="n"/>
      <c r="M343" t="inlineStr"/>
      <c r="N343" t="inlineStr"/>
      <c r="O343" s="24" t="inlineStr"/>
    </row>
    <row r="344">
      <c r="A344" t="inlineStr">
        <is>
          <t>R7.53</t>
        </is>
      </c>
      <c r="B344" t="inlineStr">
        <is>
          <t>sensitive</t>
        </is>
      </c>
      <c r="C344" s="24" t="inlineStr">
        <is>
          <t>hybrid_priority</t>
        </is>
      </c>
      <c r="D344" s="24" t="inlineStr">
        <is>
          <t>nemotron_eval_6k</t>
        </is>
      </c>
      <c r="E344" t="inlineStr">
        <is>
          <t>T1</t>
        </is>
      </c>
      <c r="F344" s="25" t="n"/>
      <c r="G344" t="inlineStr">
        <is>
          <t>macro_f2</t>
        </is>
      </c>
      <c r="H344" s="26" t="n"/>
      <c r="I344" s="26" t="n"/>
      <c r="J344" s="26" t="n"/>
      <c r="M344" t="inlineStr"/>
      <c r="N344" t="inlineStr"/>
      <c r="O344" s="24" t="inlineStr"/>
    </row>
    <row r="345">
      <c r="A345" t="inlineStr">
        <is>
          <t>R7.53</t>
        </is>
      </c>
      <c r="B345" t="inlineStr">
        <is>
          <t>sensitive</t>
        </is>
      </c>
      <c r="C345" s="24" t="inlineStr">
        <is>
          <t>hybrid_priority</t>
        </is>
      </c>
      <c r="D345" s="24" t="inlineStr">
        <is>
          <t>nemotron_eval_6k</t>
        </is>
      </c>
      <c r="E345" t="inlineStr">
        <is>
          <t>T1</t>
        </is>
      </c>
      <c r="F345" s="25" t="n"/>
      <c r="G345" t="inlineStr">
        <is>
          <t>micro_f1</t>
        </is>
      </c>
      <c r="H345" s="26" t="n"/>
      <c r="I345" s="26" t="n"/>
      <c r="J345" s="26" t="n"/>
      <c r="M345" t="inlineStr"/>
      <c r="N345" t="inlineStr"/>
      <c r="O345" s="24" t="inlineStr"/>
    </row>
    <row r="346">
      <c r="A346" t="inlineStr">
        <is>
          <t>R7.53</t>
        </is>
      </c>
      <c r="B346" t="inlineStr">
        <is>
          <t>sensitive</t>
        </is>
      </c>
      <c r="C346" s="24" t="inlineStr">
        <is>
          <t>hybrid_priority</t>
        </is>
      </c>
      <c r="D346" s="24" t="inlineStr">
        <is>
          <t>nemotron_eval_6k</t>
        </is>
      </c>
      <c r="E346" t="inlineStr">
        <is>
          <t>T1</t>
        </is>
      </c>
      <c r="F346" s="25" t="n"/>
      <c r="G346" t="inlineStr">
        <is>
          <t>priority_measurable</t>
        </is>
      </c>
      <c r="H346" s="26" t="n">
        <v>0</v>
      </c>
      <c r="I346" s="26" t="n"/>
      <c r="J346" s="26" t="n"/>
      <c r="M346" t="inlineStr"/>
      <c r="N346" t="inlineStr"/>
      <c r="O346" s="24" t="inlineStr"/>
    </row>
    <row r="347">
      <c r="A347" t="inlineStr">
        <is>
          <t>R7.53</t>
        </is>
      </c>
      <c r="B347" t="inlineStr">
        <is>
          <t>sensitive</t>
        </is>
      </c>
      <c r="C347" s="24" t="inlineStr">
        <is>
          <t>hybrid_priority</t>
        </is>
      </c>
      <c r="D347" s="24" t="inlineStr">
        <is>
          <t>nemotron_eval_6k</t>
        </is>
      </c>
      <c r="E347" t="inlineStr">
        <is>
          <t>T1</t>
        </is>
      </c>
      <c r="F347" s="25" t="n"/>
      <c r="G347" t="inlineStr">
        <is>
          <t>priority_point_passes</t>
        </is>
      </c>
      <c r="H347" s="26" t="n">
        <v>0</v>
      </c>
      <c r="I347" s="26" t="n"/>
      <c r="J347" s="26" t="n"/>
      <c r="M347" t="inlineStr"/>
      <c r="N347" t="inlineStr"/>
      <c r="O347" s="24" t="inlineStr"/>
    </row>
    <row r="348">
      <c r="A348" t="inlineStr">
        <is>
          <t>R7.53</t>
        </is>
      </c>
      <c r="B348" t="inlineStr">
        <is>
          <t>sensitive</t>
        </is>
      </c>
      <c r="C348" s="24" t="inlineStr">
        <is>
          <t>hybrid_priority</t>
        </is>
      </c>
      <c r="D348" s="24" t="inlineStr">
        <is>
          <t>nemotron_eval_6k</t>
        </is>
      </c>
      <c r="E348" t="inlineStr">
        <is>
          <t>T1</t>
        </is>
      </c>
      <c r="F348" s="25" t="n"/>
      <c r="G348" t="inlineStr">
        <is>
          <t>worst_priority_recall</t>
        </is>
      </c>
      <c r="H348" s="26" t="n"/>
      <c r="I348" s="26" t="n"/>
      <c r="J348" s="26" t="n"/>
      <c r="M348" t="inlineStr"/>
      <c r="N348" t="inlineStr"/>
      <c r="O348" s="24" t="inlineStr"/>
    </row>
    <row r="349">
      <c r="A349" t="inlineStr">
        <is>
          <t>R7.54</t>
        </is>
      </c>
      <c r="B349" t="inlineStr">
        <is>
          <t>sensitive</t>
        </is>
      </c>
      <c r="C349" s="24" t="inlineStr">
        <is>
          <t>hybrid_priority</t>
        </is>
      </c>
      <c r="D349" s="24" t="inlineStr">
        <is>
          <t>openpii_pii_eval_38k</t>
        </is>
      </c>
      <c r="E349" t="inlineStr">
        <is>
          <t>T1</t>
        </is>
      </c>
      <c r="F349" s="25" t="n"/>
      <c r="G349" t="inlineStr">
        <is>
          <t>docs_per_s</t>
        </is>
      </c>
      <c r="H349" s="26" t="n">
        <v>18600.4723608401</v>
      </c>
      <c r="I349" s="26" t="n"/>
      <c r="J349" s="26" t="n"/>
      <c r="M349" t="inlineStr"/>
      <c r="N349" t="inlineStr"/>
      <c r="O349" s="24" t="inlineStr"/>
    </row>
    <row r="350">
      <c r="A350" t="inlineStr">
        <is>
          <t>R7.54</t>
        </is>
      </c>
      <c r="B350" t="inlineStr">
        <is>
          <t>sensitive</t>
        </is>
      </c>
      <c r="C350" s="24" t="inlineStr">
        <is>
          <t>hybrid_priority</t>
        </is>
      </c>
      <c r="D350" s="24" t="inlineStr">
        <is>
          <t>openpii_pii_eval_38k</t>
        </is>
      </c>
      <c r="E350" t="inlineStr">
        <is>
          <t>T1</t>
        </is>
      </c>
      <c r="F350" s="25" t="n"/>
      <c r="G350" t="inlineStr">
        <is>
          <t>macro_f2</t>
        </is>
      </c>
      <c r="H350" s="26" t="n">
        <v>0.6301897435704903</v>
      </c>
      <c r="I350" s="26" t="n"/>
      <c r="J350" s="26" t="n"/>
      <c r="M350" t="inlineStr"/>
      <c r="N350" t="inlineStr"/>
      <c r="O350" s="24" t="inlineStr"/>
    </row>
    <row r="351">
      <c r="A351" t="inlineStr">
        <is>
          <t>R7.54</t>
        </is>
      </c>
      <c r="B351" t="inlineStr">
        <is>
          <t>sensitive</t>
        </is>
      </c>
      <c r="C351" s="24" t="inlineStr">
        <is>
          <t>hybrid_priority</t>
        </is>
      </c>
      <c r="D351" s="24" t="inlineStr">
        <is>
          <t>openpii_pii_eval_38k</t>
        </is>
      </c>
      <c r="E351" t="inlineStr">
        <is>
          <t>T1</t>
        </is>
      </c>
      <c r="F351" s="25" t="n"/>
      <c r="G351" t="inlineStr">
        <is>
          <t>micro_f1</t>
        </is>
      </c>
      <c r="H351" s="26" t="n">
        <v>0.6616117850953206</v>
      </c>
      <c r="I351" s="26" t="n"/>
      <c r="J351" s="26" t="n"/>
      <c r="M351" t="inlineStr"/>
      <c r="N351" t="inlineStr">
        <is>
          <t>yes</t>
        </is>
      </c>
      <c r="O351" s="24" t="inlineStr"/>
    </row>
    <row r="352">
      <c r="A352" t="inlineStr">
        <is>
          <t>R7.54</t>
        </is>
      </c>
      <c r="B352" t="inlineStr">
        <is>
          <t>sensitive</t>
        </is>
      </c>
      <c r="C352" s="24" t="inlineStr">
        <is>
          <t>hybrid_priority</t>
        </is>
      </c>
      <c r="D352" s="24" t="inlineStr">
        <is>
          <t>openpii_pii_eval_38k</t>
        </is>
      </c>
      <c r="E352" t="inlineStr">
        <is>
          <t>T1</t>
        </is>
      </c>
      <c r="F352" s="25" t="n"/>
      <c r="G352" t="inlineStr">
        <is>
          <t>priority_measurable</t>
        </is>
      </c>
      <c r="H352" s="26" t="n">
        <v>9</v>
      </c>
      <c r="I352" s="26" t="n"/>
      <c r="J352" s="26" t="n"/>
      <c r="M352" t="inlineStr"/>
      <c r="N352" t="inlineStr"/>
      <c r="O352" s="24" t="inlineStr"/>
    </row>
    <row r="353">
      <c r="A353" t="inlineStr">
        <is>
          <t>R7.54</t>
        </is>
      </c>
      <c r="B353" t="inlineStr">
        <is>
          <t>sensitive</t>
        </is>
      </c>
      <c r="C353" s="24" t="inlineStr">
        <is>
          <t>hybrid_priority</t>
        </is>
      </c>
      <c r="D353" s="24" t="inlineStr">
        <is>
          <t>openpii_pii_eval_38k</t>
        </is>
      </c>
      <c r="E353" t="inlineStr">
        <is>
          <t>T1</t>
        </is>
      </c>
      <c r="F353" s="25" t="n"/>
      <c r="G353" t="inlineStr">
        <is>
          <t>priority_point_passes</t>
        </is>
      </c>
      <c r="H353" s="26" t="n">
        <v>9</v>
      </c>
      <c r="I353" s="26" t="n"/>
      <c r="J353" s="26" t="n"/>
      <c r="M353" t="inlineStr"/>
      <c r="N353" t="inlineStr"/>
      <c r="O353" s="24" t="inlineStr"/>
    </row>
    <row r="354">
      <c r="A354" t="inlineStr">
        <is>
          <t>R7.54</t>
        </is>
      </c>
      <c r="B354" t="inlineStr">
        <is>
          <t>sensitive</t>
        </is>
      </c>
      <c r="C354" s="24" t="inlineStr">
        <is>
          <t>hybrid_priority</t>
        </is>
      </c>
      <c r="D354" s="24" t="inlineStr">
        <is>
          <t>openpii_pii_eval_38k</t>
        </is>
      </c>
      <c r="E354" t="inlineStr">
        <is>
          <t>T1</t>
        </is>
      </c>
      <c r="F354" s="25" t="n"/>
      <c r="G354" t="inlineStr">
        <is>
          <t>worst_priority_recall</t>
        </is>
      </c>
      <c r="H354" s="26" t="n">
        <v>0.9997093656906197</v>
      </c>
      <c r="I354" s="26" t="n"/>
      <c r="J354" s="26" t="n"/>
      <c r="M354" t="inlineStr"/>
      <c r="N354" t="inlineStr"/>
      <c r="O354" s="24" t="inlineStr"/>
    </row>
    <row r="355">
      <c r="A355" t="inlineStr">
        <is>
          <t>R7.55</t>
        </is>
      </c>
      <c r="B355" t="inlineStr">
        <is>
          <t>sensitive</t>
        </is>
      </c>
      <c r="C355" s="24" t="inlineStr">
        <is>
          <t>hybrid_priority</t>
        </is>
      </c>
      <c r="D355" s="24" t="inlineStr">
        <is>
          <t>pii2_eval_30k</t>
        </is>
      </c>
      <c r="E355" t="inlineStr">
        <is>
          <t>T1</t>
        </is>
      </c>
      <c r="F355" s="25" t="n"/>
      <c r="G355" t="inlineStr">
        <is>
          <t>docs_per_s</t>
        </is>
      </c>
      <c r="H355" s="26" t="n">
        <v>3834.024308112856</v>
      </c>
      <c r="I355" s="26" t="n"/>
      <c r="J355" s="26" t="n"/>
      <c r="M355" t="inlineStr"/>
      <c r="N355" t="inlineStr"/>
      <c r="O355" s="24" t="inlineStr"/>
    </row>
    <row r="356">
      <c r="A356" t="inlineStr">
        <is>
          <t>R7.55</t>
        </is>
      </c>
      <c r="B356" t="inlineStr">
        <is>
          <t>sensitive</t>
        </is>
      </c>
      <c r="C356" s="24" t="inlineStr">
        <is>
          <t>hybrid_priority</t>
        </is>
      </c>
      <c r="D356" s="24" t="inlineStr">
        <is>
          <t>pii2_eval_30k</t>
        </is>
      </c>
      <c r="E356" t="inlineStr">
        <is>
          <t>T1</t>
        </is>
      </c>
      <c r="F356" s="25" t="n"/>
      <c r="G356" t="inlineStr">
        <is>
          <t>macro_f2</t>
        </is>
      </c>
      <c r="H356" s="26" t="n">
        <v>0.4624626997840942</v>
      </c>
      <c r="I356" s="26" t="n"/>
      <c r="J356" s="26" t="n"/>
      <c r="M356" t="inlineStr"/>
      <c r="N356" t="inlineStr"/>
      <c r="O356" s="24" t="inlineStr"/>
    </row>
    <row r="357">
      <c r="A357" t="inlineStr">
        <is>
          <t>R7.55</t>
        </is>
      </c>
      <c r="B357" t="inlineStr">
        <is>
          <t>sensitive</t>
        </is>
      </c>
      <c r="C357" s="24" t="inlineStr">
        <is>
          <t>hybrid_priority</t>
        </is>
      </c>
      <c r="D357" s="24" t="inlineStr">
        <is>
          <t>pii2_eval_30k</t>
        </is>
      </c>
      <c r="E357" t="inlineStr">
        <is>
          <t>T1</t>
        </is>
      </c>
      <c r="F357" s="25" t="n"/>
      <c r="G357" t="inlineStr">
        <is>
          <t>micro_f1</t>
        </is>
      </c>
      <c r="H357" s="26" t="n">
        <v>0.2038074940066673</v>
      </c>
      <c r="I357" s="26" t="n"/>
      <c r="J357" s="26" t="n"/>
      <c r="M357" t="inlineStr"/>
      <c r="N357" t="inlineStr">
        <is>
          <t>yes</t>
        </is>
      </c>
      <c r="O357" s="24" t="inlineStr"/>
    </row>
    <row r="358">
      <c r="A358" t="inlineStr">
        <is>
          <t>R7.55</t>
        </is>
      </c>
      <c r="B358" t="inlineStr">
        <is>
          <t>sensitive</t>
        </is>
      </c>
      <c r="C358" s="24" t="inlineStr">
        <is>
          <t>hybrid_priority</t>
        </is>
      </c>
      <c r="D358" s="24" t="inlineStr">
        <is>
          <t>pii2_eval_30k</t>
        </is>
      </c>
      <c r="E358" t="inlineStr">
        <is>
          <t>T1</t>
        </is>
      </c>
      <c r="F358" s="25" t="n"/>
      <c r="G358" t="inlineStr">
        <is>
          <t>priority_measurable</t>
        </is>
      </c>
      <c r="H358" s="26" t="n">
        <v>15</v>
      </c>
      <c r="I358" s="26" t="n"/>
      <c r="J358" s="26" t="n"/>
      <c r="M358" t="inlineStr"/>
      <c r="N358" t="inlineStr"/>
      <c r="O358" s="24" t="inlineStr"/>
    </row>
    <row r="359">
      <c r="A359" t="inlineStr">
        <is>
          <t>R7.55</t>
        </is>
      </c>
      <c r="B359" t="inlineStr">
        <is>
          <t>sensitive</t>
        </is>
      </c>
      <c r="C359" s="24" t="inlineStr">
        <is>
          <t>hybrid_priority</t>
        </is>
      </c>
      <c r="D359" s="24" t="inlineStr">
        <is>
          <t>pii2_eval_30k</t>
        </is>
      </c>
      <c r="E359" t="inlineStr">
        <is>
          <t>T1</t>
        </is>
      </c>
      <c r="F359" s="25" t="n"/>
      <c r="G359" t="inlineStr">
        <is>
          <t>priority_point_passes</t>
        </is>
      </c>
      <c r="H359" s="26" t="n">
        <v>15</v>
      </c>
      <c r="I359" s="26" t="n"/>
      <c r="J359" s="26" t="n"/>
      <c r="M359" t="inlineStr"/>
      <c r="N359" t="inlineStr"/>
      <c r="O359" s="24" t="inlineStr"/>
    </row>
    <row r="360">
      <c r="A360" t="inlineStr">
        <is>
          <t>R7.55</t>
        </is>
      </c>
      <c r="B360" t="inlineStr">
        <is>
          <t>sensitive</t>
        </is>
      </c>
      <c r="C360" s="24" t="inlineStr">
        <is>
          <t>hybrid_priority</t>
        </is>
      </c>
      <c r="D360" s="24" t="inlineStr">
        <is>
          <t>pii2_eval_30k</t>
        </is>
      </c>
      <c r="E360" t="inlineStr">
        <is>
          <t>T1</t>
        </is>
      </c>
      <c r="F360" s="25" t="n"/>
      <c r="G360" t="inlineStr">
        <is>
          <t>worst_priority_recall</t>
        </is>
      </c>
      <c r="H360" s="26" t="n">
        <v>1</v>
      </c>
      <c r="I360" s="26" t="n"/>
      <c r="J360" s="26" t="n"/>
      <c r="M360" t="inlineStr"/>
      <c r="N360" t="inlineStr"/>
      <c r="O360" s="24" t="inlineStr"/>
    </row>
    <row r="361">
      <c r="A361" t="inlineStr">
        <is>
          <t>R7.56</t>
        </is>
      </c>
      <c r="B361" t="inlineStr">
        <is>
          <t>sensitive</t>
        </is>
      </c>
      <c r="C361" s="24" t="inlineStr">
        <is>
          <t>hybrid_priority</t>
        </is>
      </c>
      <c r="D361" s="24" t="inlineStr">
        <is>
          <t>pii_holdout_20k</t>
        </is>
      </c>
      <c r="E361" t="inlineStr">
        <is>
          <t>T1</t>
        </is>
      </c>
      <c r="F361" s="25" t="n"/>
      <c r="G361" t="inlineStr">
        <is>
          <t>docs_per_s</t>
        </is>
      </c>
      <c r="H361" s="26" t="n">
        <v>4382.776504840477</v>
      </c>
      <c r="I361" s="26" t="n"/>
      <c r="J361" s="26" t="n"/>
      <c r="M361" t="inlineStr"/>
      <c r="N361" t="inlineStr"/>
      <c r="O361" s="24" t="inlineStr"/>
    </row>
    <row r="362">
      <c r="A362" t="inlineStr">
        <is>
          <t>R7.56</t>
        </is>
      </c>
      <c r="B362" t="inlineStr">
        <is>
          <t>sensitive</t>
        </is>
      </c>
      <c r="C362" s="24" t="inlineStr">
        <is>
          <t>hybrid_priority</t>
        </is>
      </c>
      <c r="D362" s="24" t="inlineStr">
        <is>
          <t>pii_holdout_20k</t>
        </is>
      </c>
      <c r="E362" t="inlineStr">
        <is>
          <t>T1</t>
        </is>
      </c>
      <c r="F362" s="25" t="n"/>
      <c r="G362" t="inlineStr">
        <is>
          <t>macro_f2</t>
        </is>
      </c>
      <c r="H362" s="26" t="n">
        <v>0.5753219024611259</v>
      </c>
      <c r="I362" s="26" t="n"/>
      <c r="J362" s="26" t="n"/>
      <c r="M362" t="inlineStr"/>
      <c r="N362" t="inlineStr"/>
      <c r="O362" s="24" t="inlineStr"/>
    </row>
    <row r="363">
      <c r="A363" t="inlineStr">
        <is>
          <t>R7.56</t>
        </is>
      </c>
      <c r="B363" t="inlineStr">
        <is>
          <t>sensitive</t>
        </is>
      </c>
      <c r="C363" s="24" t="inlineStr">
        <is>
          <t>hybrid_priority</t>
        </is>
      </c>
      <c r="D363" s="24" t="inlineStr">
        <is>
          <t>pii_holdout_20k</t>
        </is>
      </c>
      <c r="E363" t="inlineStr">
        <is>
          <t>T1</t>
        </is>
      </c>
      <c r="F363" s="25" t="n"/>
      <c r="G363" t="inlineStr">
        <is>
          <t>micro_f1</t>
        </is>
      </c>
      <c r="H363" s="26" t="n">
        <v>0.4750729177050941</v>
      </c>
      <c r="I363" s="26" t="n"/>
      <c r="J363" s="26" t="n"/>
      <c r="M363" t="inlineStr"/>
      <c r="N363" t="inlineStr">
        <is>
          <t>yes</t>
        </is>
      </c>
      <c r="O363" s="24" t="inlineStr"/>
    </row>
    <row r="364">
      <c r="A364" t="inlineStr">
        <is>
          <t>R7.56</t>
        </is>
      </c>
      <c r="B364" t="inlineStr">
        <is>
          <t>sensitive</t>
        </is>
      </c>
      <c r="C364" s="24" t="inlineStr">
        <is>
          <t>hybrid_priority</t>
        </is>
      </c>
      <c r="D364" s="24" t="inlineStr">
        <is>
          <t>pii_holdout_20k</t>
        </is>
      </c>
      <c r="E364" t="inlineStr">
        <is>
          <t>T1</t>
        </is>
      </c>
      <c r="F364" s="25" t="n"/>
      <c r="G364" t="inlineStr">
        <is>
          <t>priority_measurable</t>
        </is>
      </c>
      <c r="H364" s="26" t="n">
        <v>14</v>
      </c>
      <c r="I364" s="26" t="n"/>
      <c r="J364" s="26" t="n"/>
      <c r="M364" t="inlineStr"/>
      <c r="N364" t="inlineStr"/>
      <c r="O364" s="24" t="inlineStr"/>
    </row>
    <row r="365">
      <c r="A365" t="inlineStr">
        <is>
          <t>R7.56</t>
        </is>
      </c>
      <c r="B365" t="inlineStr">
        <is>
          <t>sensitive</t>
        </is>
      </c>
      <c r="C365" s="24" t="inlineStr">
        <is>
          <t>hybrid_priority</t>
        </is>
      </c>
      <c r="D365" s="24" t="inlineStr">
        <is>
          <t>pii_holdout_20k</t>
        </is>
      </c>
      <c r="E365" t="inlineStr">
        <is>
          <t>T1</t>
        </is>
      </c>
      <c r="F365" s="25" t="n"/>
      <c r="G365" t="inlineStr">
        <is>
          <t>priority_point_passes</t>
        </is>
      </c>
      <c r="H365" s="26" t="n">
        <v>14</v>
      </c>
      <c r="I365" s="26" t="n"/>
      <c r="J365" s="26" t="n"/>
      <c r="M365" t="inlineStr"/>
      <c r="N365" t="inlineStr"/>
      <c r="O365" s="24" t="inlineStr"/>
    </row>
    <row r="366">
      <c r="A366" t="inlineStr">
        <is>
          <t>R7.56</t>
        </is>
      </c>
      <c r="B366" t="inlineStr">
        <is>
          <t>sensitive</t>
        </is>
      </c>
      <c r="C366" s="24" t="inlineStr">
        <is>
          <t>hybrid_priority</t>
        </is>
      </c>
      <c r="D366" s="24" t="inlineStr">
        <is>
          <t>pii_holdout_20k</t>
        </is>
      </c>
      <c r="E366" t="inlineStr">
        <is>
          <t>T1</t>
        </is>
      </c>
      <c r="F366" s="25" t="n"/>
      <c r="G366" t="inlineStr">
        <is>
          <t>worst_priority_recall</t>
        </is>
      </c>
      <c r="H366" s="26" t="n">
        <v>1</v>
      </c>
      <c r="I366" s="26" t="n"/>
      <c r="J366" s="26" t="n"/>
      <c r="M366" t="inlineStr"/>
      <c r="N366" t="inlineStr"/>
      <c r="O366" s="24" t="inlineStr"/>
    </row>
    <row r="367">
      <c r="A367" t="inlineStr">
        <is>
          <t>R7.57</t>
        </is>
      </c>
      <c r="B367" t="inlineStr">
        <is>
          <t>sensitive</t>
        </is>
      </c>
      <c r="C367" s="24" t="inlineStr">
        <is>
          <t>champion_1k</t>
        </is>
      </c>
      <c r="D367" s="24" t="inlineStr">
        <is>
          <t>4000_datax-dualjudge-evalset-1.32k</t>
        </is>
      </c>
      <c r="E367" t="inlineStr">
        <is>
          <t>T1</t>
        </is>
      </c>
      <c r="F367" s="25" t="n"/>
      <c r="G367" t="inlineStr">
        <is>
          <t>docs_per_s</t>
        </is>
      </c>
      <c r="H367" s="26" t="n">
        <v>4009.790199514548</v>
      </c>
      <c r="I367" s="26" t="n"/>
      <c r="J367" s="26" t="n"/>
      <c r="M367" t="inlineStr"/>
      <c r="N367" t="inlineStr"/>
      <c r="O367" s="24" t="inlineStr"/>
    </row>
    <row r="368">
      <c r="A368" t="inlineStr">
        <is>
          <t>R7.57</t>
        </is>
      </c>
      <c r="B368" t="inlineStr">
        <is>
          <t>sensitive</t>
        </is>
      </c>
      <c r="C368" s="24" t="inlineStr">
        <is>
          <t>champion_1k</t>
        </is>
      </c>
      <c r="D368" s="24" t="inlineStr">
        <is>
          <t>4000_datax-dualjudge-evalset-1.32k</t>
        </is>
      </c>
      <c r="E368" t="inlineStr">
        <is>
          <t>T1</t>
        </is>
      </c>
      <c r="F368" s="25" t="n"/>
      <c r="G368" t="inlineStr">
        <is>
          <t>macro_f2</t>
        </is>
      </c>
      <c r="H368" s="26" t="n"/>
      <c r="I368" s="26" t="n"/>
      <c r="J368" s="26" t="n"/>
      <c r="M368" t="inlineStr"/>
      <c r="N368" t="inlineStr"/>
      <c r="O368" s="24" t="inlineStr"/>
    </row>
    <row r="369">
      <c r="A369" t="inlineStr">
        <is>
          <t>R7.57</t>
        </is>
      </c>
      <c r="B369" t="inlineStr">
        <is>
          <t>sensitive</t>
        </is>
      </c>
      <c r="C369" s="24" t="inlineStr">
        <is>
          <t>champion_1k</t>
        </is>
      </c>
      <c r="D369" s="24" t="inlineStr">
        <is>
          <t>4000_datax-dualjudge-evalset-1.32k</t>
        </is>
      </c>
      <c r="E369" t="inlineStr">
        <is>
          <t>T1</t>
        </is>
      </c>
      <c r="F369" s="25" t="n"/>
      <c r="G369" t="inlineStr">
        <is>
          <t>micro_f1</t>
        </is>
      </c>
      <c r="H369" s="26" t="n"/>
      <c r="I369" s="26" t="n"/>
      <c r="J369" s="26" t="n"/>
      <c r="M369" t="inlineStr"/>
      <c r="N369" t="inlineStr"/>
      <c r="O369" s="24" t="inlineStr"/>
    </row>
    <row r="370">
      <c r="A370" t="inlineStr">
        <is>
          <t>R7.57</t>
        </is>
      </c>
      <c r="B370" t="inlineStr">
        <is>
          <t>sensitive</t>
        </is>
      </c>
      <c r="C370" s="24" t="inlineStr">
        <is>
          <t>champion_1k</t>
        </is>
      </c>
      <c r="D370" s="24" t="inlineStr">
        <is>
          <t>4000_datax-dualjudge-evalset-1.32k</t>
        </is>
      </c>
      <c r="E370" t="inlineStr">
        <is>
          <t>T1</t>
        </is>
      </c>
      <c r="F370" s="25" t="n"/>
      <c r="G370" t="inlineStr">
        <is>
          <t>priority_measurable</t>
        </is>
      </c>
      <c r="H370" s="26" t="n">
        <v>1</v>
      </c>
      <c r="I370" s="26" t="n"/>
      <c r="J370" s="26" t="n"/>
      <c r="M370" t="inlineStr"/>
      <c r="N370" t="inlineStr"/>
      <c r="O370" s="24" t="inlineStr"/>
    </row>
    <row r="371">
      <c r="A371" t="inlineStr">
        <is>
          <t>R7.57</t>
        </is>
      </c>
      <c r="B371" t="inlineStr">
        <is>
          <t>sensitive</t>
        </is>
      </c>
      <c r="C371" s="24" t="inlineStr">
        <is>
          <t>champion_1k</t>
        </is>
      </c>
      <c r="D371" s="24" t="inlineStr">
        <is>
          <t>4000_datax-dualjudge-evalset-1.32k</t>
        </is>
      </c>
      <c r="E371" t="inlineStr">
        <is>
          <t>T1</t>
        </is>
      </c>
      <c r="F371" s="25" t="n"/>
      <c r="G371" t="inlineStr">
        <is>
          <t>priority_point_passes</t>
        </is>
      </c>
      <c r="H371" s="26" t="n">
        <v>1</v>
      </c>
      <c r="I371" s="26" t="n"/>
      <c r="J371" s="26" t="n"/>
      <c r="M371" t="inlineStr"/>
      <c r="N371" t="inlineStr"/>
      <c r="O371" s="24" t="inlineStr"/>
    </row>
    <row r="372">
      <c r="A372" t="inlineStr">
        <is>
          <t>R7.57</t>
        </is>
      </c>
      <c r="B372" t="inlineStr">
        <is>
          <t>sensitive</t>
        </is>
      </c>
      <c r="C372" s="24" t="inlineStr">
        <is>
          <t>champion_1k</t>
        </is>
      </c>
      <c r="D372" s="24" t="inlineStr">
        <is>
          <t>4000_datax-dualjudge-evalset-1.32k</t>
        </is>
      </c>
      <c r="E372" t="inlineStr">
        <is>
          <t>T1</t>
        </is>
      </c>
      <c r="F372" s="25" t="n"/>
      <c r="G372" t="inlineStr">
        <is>
          <t>worst_priority_recall</t>
        </is>
      </c>
      <c r="H372" s="26" t="n">
        <v>1</v>
      </c>
      <c r="I372" s="26" t="n"/>
      <c r="J372" s="26" t="n"/>
      <c r="M372" t="inlineStr"/>
      <c r="N372" t="inlineStr"/>
      <c r="O372" s="24" t="inlineStr"/>
    </row>
    <row r="373">
      <c r="A373" t="inlineStr">
        <is>
          <t>R7.58</t>
        </is>
      </c>
      <c r="B373" t="inlineStr">
        <is>
          <t>sensitive</t>
        </is>
      </c>
      <c r="C373" s="24" t="inlineStr">
        <is>
          <t>champion_1k</t>
        </is>
      </c>
      <c r="D373" s="24" t="inlineStr">
        <is>
          <t>6589_govdocs2-dualjudge-eval20-3.53k</t>
        </is>
      </c>
      <c r="E373" t="inlineStr">
        <is>
          <t>T1</t>
        </is>
      </c>
      <c r="F373" s="25" t="n"/>
      <c r="G373" t="inlineStr">
        <is>
          <t>docs_per_s</t>
        </is>
      </c>
      <c r="H373" s="26" t="n">
        <v>7928.694923016162</v>
      </c>
      <c r="I373" s="26" t="n"/>
      <c r="J373" s="26" t="n"/>
      <c r="M373" t="inlineStr"/>
      <c r="N373" t="inlineStr"/>
      <c r="O373" s="24" t="inlineStr"/>
    </row>
    <row r="374">
      <c r="A374" t="inlineStr">
        <is>
          <t>R7.58</t>
        </is>
      </c>
      <c r="B374" t="inlineStr">
        <is>
          <t>sensitive</t>
        </is>
      </c>
      <c r="C374" s="24" t="inlineStr">
        <is>
          <t>champion_1k</t>
        </is>
      </c>
      <c r="D374" s="24" t="inlineStr">
        <is>
          <t>6589_govdocs2-dualjudge-eval20-3.53k</t>
        </is>
      </c>
      <c r="E374" t="inlineStr">
        <is>
          <t>T1</t>
        </is>
      </c>
      <c r="F374" s="25" t="n"/>
      <c r="G374" t="inlineStr">
        <is>
          <t>macro_f2</t>
        </is>
      </c>
      <c r="H374" s="26" t="n"/>
      <c r="I374" s="26" t="n"/>
      <c r="J374" s="26" t="n"/>
      <c r="M374" t="inlineStr"/>
      <c r="N374" t="inlineStr"/>
      <c r="O374" s="24" t="inlineStr"/>
    </row>
    <row r="375">
      <c r="A375" t="inlineStr">
        <is>
          <t>R7.58</t>
        </is>
      </c>
      <c r="B375" t="inlineStr">
        <is>
          <t>sensitive</t>
        </is>
      </c>
      <c r="C375" s="24" t="inlineStr">
        <is>
          <t>champion_1k</t>
        </is>
      </c>
      <c r="D375" s="24" t="inlineStr">
        <is>
          <t>6589_govdocs2-dualjudge-eval20-3.53k</t>
        </is>
      </c>
      <c r="E375" t="inlineStr">
        <is>
          <t>T1</t>
        </is>
      </c>
      <c r="F375" s="25" t="n"/>
      <c r="G375" t="inlineStr">
        <is>
          <t>micro_f1</t>
        </is>
      </c>
      <c r="H375" s="26" t="n"/>
      <c r="I375" s="26" t="n"/>
      <c r="J375" s="26" t="n"/>
      <c r="M375" t="inlineStr"/>
      <c r="N375" t="inlineStr"/>
      <c r="O375" s="24" t="inlineStr"/>
    </row>
    <row r="376">
      <c r="A376" t="inlineStr">
        <is>
          <t>R7.58</t>
        </is>
      </c>
      <c r="B376" t="inlineStr">
        <is>
          <t>sensitive</t>
        </is>
      </c>
      <c r="C376" s="24" t="inlineStr">
        <is>
          <t>champion_1k</t>
        </is>
      </c>
      <c r="D376" s="24" t="inlineStr">
        <is>
          <t>6589_govdocs2-dualjudge-eval20-3.53k</t>
        </is>
      </c>
      <c r="E376" t="inlineStr">
        <is>
          <t>T1</t>
        </is>
      </c>
      <c r="F376" s="25" t="n"/>
      <c r="G376" t="inlineStr">
        <is>
          <t>priority_measurable</t>
        </is>
      </c>
      <c r="H376" s="26" t="n">
        <v>2</v>
      </c>
      <c r="I376" s="26" t="n"/>
      <c r="J376" s="26" t="n"/>
      <c r="M376" t="inlineStr"/>
      <c r="N376" t="inlineStr"/>
      <c r="O376" s="24" t="inlineStr"/>
    </row>
    <row r="377">
      <c r="A377" t="inlineStr">
        <is>
          <t>R7.58</t>
        </is>
      </c>
      <c r="B377" t="inlineStr">
        <is>
          <t>sensitive</t>
        </is>
      </c>
      <c r="C377" s="24" t="inlineStr">
        <is>
          <t>champion_1k</t>
        </is>
      </c>
      <c r="D377" s="24" t="inlineStr">
        <is>
          <t>6589_govdocs2-dualjudge-eval20-3.53k</t>
        </is>
      </c>
      <c r="E377" t="inlineStr">
        <is>
          <t>T1</t>
        </is>
      </c>
      <c r="F377" s="25" t="n"/>
      <c r="G377" t="inlineStr">
        <is>
          <t>priority_point_passes</t>
        </is>
      </c>
      <c r="H377" s="26" t="n">
        <v>2</v>
      </c>
      <c r="I377" s="26" t="n"/>
      <c r="J377" s="26" t="n"/>
      <c r="M377" t="inlineStr"/>
      <c r="N377" t="inlineStr"/>
      <c r="O377" s="24" t="inlineStr"/>
    </row>
    <row r="378">
      <c r="A378" t="inlineStr">
        <is>
          <t>R7.58</t>
        </is>
      </c>
      <c r="B378" t="inlineStr">
        <is>
          <t>sensitive</t>
        </is>
      </c>
      <c r="C378" s="24" t="inlineStr">
        <is>
          <t>champion_1k</t>
        </is>
      </c>
      <c r="D378" s="24" t="inlineStr">
        <is>
          <t>6589_govdocs2-dualjudge-eval20-3.53k</t>
        </is>
      </c>
      <c r="E378" t="inlineStr">
        <is>
          <t>T1</t>
        </is>
      </c>
      <c r="F378" s="25" t="n"/>
      <c r="G378" t="inlineStr">
        <is>
          <t>worst_priority_recall</t>
        </is>
      </c>
      <c r="H378" s="26" t="n">
        <v>0.9887766554433222</v>
      </c>
      <c r="I378" s="26" t="n"/>
      <c r="J378" s="26" t="n"/>
      <c r="M378" t="inlineStr"/>
      <c r="N378" t="inlineStr"/>
      <c r="O378" s="24" t="inlineStr"/>
    </row>
    <row r="379">
      <c r="A379" t="inlineStr">
        <is>
          <t>R7.59</t>
        </is>
      </c>
      <c r="B379" t="inlineStr">
        <is>
          <t>sensitive</t>
        </is>
      </c>
      <c r="C379" s="24" t="inlineStr">
        <is>
          <t>champion_1k</t>
        </is>
      </c>
      <c r="D379" s="24" t="inlineStr">
        <is>
          <t>ai4privacy_pii_masking_eval_10k</t>
        </is>
      </c>
      <c r="E379" t="inlineStr">
        <is>
          <t>T1</t>
        </is>
      </c>
      <c r="F379" s="25" t="n"/>
      <c r="G379" t="inlineStr">
        <is>
          <t>docs_per_s</t>
        </is>
      </c>
      <c r="H379" s="26" t="n">
        <v>28498.95000460588</v>
      </c>
      <c r="I379" s="26" t="n"/>
      <c r="J379" s="26" t="n"/>
      <c r="M379" t="inlineStr"/>
      <c r="N379" t="inlineStr"/>
      <c r="O379" s="24" t="inlineStr"/>
    </row>
    <row r="380">
      <c r="A380" t="inlineStr">
        <is>
          <t>R7.59</t>
        </is>
      </c>
      <c r="B380" t="inlineStr">
        <is>
          <t>sensitive</t>
        </is>
      </c>
      <c r="C380" s="24" t="inlineStr">
        <is>
          <t>champion_1k</t>
        </is>
      </c>
      <c r="D380" s="24" t="inlineStr">
        <is>
          <t>ai4privacy_pii_masking_eval_10k</t>
        </is>
      </c>
      <c r="E380" t="inlineStr">
        <is>
          <t>T1</t>
        </is>
      </c>
      <c r="F380" s="25" t="n"/>
      <c r="G380" t="inlineStr">
        <is>
          <t>macro_f2</t>
        </is>
      </c>
      <c r="H380" s="26" t="n">
        <v>0.4995498084835842</v>
      </c>
      <c r="I380" s="26" t="n"/>
      <c r="J380" s="26" t="n"/>
      <c r="M380" t="inlineStr"/>
      <c r="N380" t="inlineStr"/>
      <c r="O380" s="24" t="inlineStr"/>
    </row>
    <row r="381">
      <c r="A381" t="inlineStr">
        <is>
          <t>R7.59</t>
        </is>
      </c>
      <c r="B381" t="inlineStr">
        <is>
          <t>sensitive</t>
        </is>
      </c>
      <c r="C381" s="24" t="inlineStr">
        <is>
          <t>champion_1k</t>
        </is>
      </c>
      <c r="D381" s="24" t="inlineStr">
        <is>
          <t>ai4privacy_pii_masking_eval_10k</t>
        </is>
      </c>
      <c r="E381" t="inlineStr">
        <is>
          <t>T1</t>
        </is>
      </c>
      <c r="F381" s="25" t="n"/>
      <c r="G381" t="inlineStr">
        <is>
          <t>micro_f1</t>
        </is>
      </c>
      <c r="H381" s="26" t="n">
        <v>0.3529093683011143</v>
      </c>
      <c r="I381" s="26" t="n"/>
      <c r="J381" s="26" t="n"/>
      <c r="M381" t="inlineStr"/>
      <c r="N381" t="inlineStr">
        <is>
          <t>yes</t>
        </is>
      </c>
      <c r="O381" s="24" t="inlineStr"/>
    </row>
    <row r="382">
      <c r="A382" t="inlineStr">
        <is>
          <t>R7.59</t>
        </is>
      </c>
      <c r="B382" t="inlineStr">
        <is>
          <t>sensitive</t>
        </is>
      </c>
      <c r="C382" s="24" t="inlineStr">
        <is>
          <t>champion_1k</t>
        </is>
      </c>
      <c r="D382" s="24" t="inlineStr">
        <is>
          <t>ai4privacy_pii_masking_eval_10k</t>
        </is>
      </c>
      <c r="E382" t="inlineStr">
        <is>
          <t>T1</t>
        </is>
      </c>
      <c r="F382" s="25" t="n"/>
      <c r="G382" t="inlineStr">
        <is>
          <t>priority_measurable</t>
        </is>
      </c>
      <c r="H382" s="26" t="n">
        <v>10</v>
      </c>
      <c r="I382" s="26" t="n"/>
      <c r="J382" s="26" t="n"/>
      <c r="M382" t="inlineStr"/>
      <c r="N382" t="inlineStr"/>
      <c r="O382" s="24" t="inlineStr"/>
    </row>
    <row r="383">
      <c r="A383" t="inlineStr">
        <is>
          <t>R7.59</t>
        </is>
      </c>
      <c r="B383" t="inlineStr">
        <is>
          <t>sensitive</t>
        </is>
      </c>
      <c r="C383" s="24" t="inlineStr">
        <is>
          <t>champion_1k</t>
        </is>
      </c>
      <c r="D383" s="24" t="inlineStr">
        <is>
          <t>ai4privacy_pii_masking_eval_10k</t>
        </is>
      </c>
      <c r="E383" t="inlineStr">
        <is>
          <t>T1</t>
        </is>
      </c>
      <c r="F383" s="25" t="n"/>
      <c r="G383" t="inlineStr">
        <is>
          <t>priority_point_passes</t>
        </is>
      </c>
      <c r="H383" s="26" t="n">
        <v>10</v>
      </c>
      <c r="I383" s="26" t="n"/>
      <c r="J383" s="26" t="n"/>
      <c r="M383" t="inlineStr"/>
      <c r="N383" t="inlineStr"/>
      <c r="O383" s="24" t="inlineStr"/>
    </row>
    <row r="384">
      <c r="A384" t="inlineStr">
        <is>
          <t>R7.59</t>
        </is>
      </c>
      <c r="B384" t="inlineStr">
        <is>
          <t>sensitive</t>
        </is>
      </c>
      <c r="C384" s="24" t="inlineStr">
        <is>
          <t>champion_1k</t>
        </is>
      </c>
      <c r="D384" s="24" t="inlineStr">
        <is>
          <t>ai4privacy_pii_masking_eval_10k</t>
        </is>
      </c>
      <c r="E384" t="inlineStr">
        <is>
          <t>T1</t>
        </is>
      </c>
      <c r="F384" s="25" t="n"/>
      <c r="G384" t="inlineStr">
        <is>
          <t>worst_priority_recall</t>
        </is>
      </c>
      <c r="H384" s="26" t="n">
        <v>0.9990925589836661</v>
      </c>
      <c r="I384" s="26" t="n"/>
      <c r="J384" s="26" t="n"/>
      <c r="M384" t="inlineStr"/>
      <c r="N384" t="inlineStr"/>
      <c r="O384" s="24" t="inlineStr"/>
    </row>
    <row r="385">
      <c r="A385" t="inlineStr">
        <is>
          <t>R7.60</t>
        </is>
      </c>
      <c r="B385" t="inlineStr">
        <is>
          <t>sensitive</t>
        </is>
      </c>
      <c r="C385" s="24" t="inlineStr">
        <is>
          <t>champion_1k</t>
        </is>
      </c>
      <c r="D385" s="24" t="inlineStr">
        <is>
          <t>betterdataai_ner_silver_eval_10k</t>
        </is>
      </c>
      <c r="E385" t="inlineStr">
        <is>
          <t>T1</t>
        </is>
      </c>
      <c r="F385" s="25" t="n"/>
      <c r="G385" t="inlineStr">
        <is>
          <t>docs_per_s</t>
        </is>
      </c>
      <c r="H385" s="26" t="n">
        <v>21218.52930403257</v>
      </c>
      <c r="I385" s="26" t="n"/>
      <c r="J385" s="26" t="n"/>
      <c r="M385" t="inlineStr"/>
      <c r="N385" t="inlineStr"/>
      <c r="O385" s="24" t="inlineStr"/>
    </row>
    <row r="386">
      <c r="A386" t="inlineStr">
        <is>
          <t>R7.60</t>
        </is>
      </c>
      <c r="B386" t="inlineStr">
        <is>
          <t>sensitive</t>
        </is>
      </c>
      <c r="C386" s="24" t="inlineStr">
        <is>
          <t>champion_1k</t>
        </is>
      </c>
      <c r="D386" s="24" t="inlineStr">
        <is>
          <t>betterdataai_ner_silver_eval_10k</t>
        </is>
      </c>
      <c r="E386" t="inlineStr">
        <is>
          <t>T1</t>
        </is>
      </c>
      <c r="F386" s="25" t="n"/>
      <c r="G386" t="inlineStr">
        <is>
          <t>macro_f2</t>
        </is>
      </c>
      <c r="H386" s="26" t="n">
        <v>0.2312503612791334</v>
      </c>
      <c r="I386" s="26" t="n"/>
      <c r="J386" s="26" t="n"/>
      <c r="M386" t="inlineStr"/>
      <c r="N386" t="inlineStr"/>
      <c r="O386" s="24" t="inlineStr"/>
    </row>
    <row r="387">
      <c r="A387" t="inlineStr">
        <is>
          <t>R7.60</t>
        </is>
      </c>
      <c r="B387" t="inlineStr">
        <is>
          <t>sensitive</t>
        </is>
      </c>
      <c r="C387" s="24" t="inlineStr">
        <is>
          <t>champion_1k</t>
        </is>
      </c>
      <c r="D387" s="24" t="inlineStr">
        <is>
          <t>betterdataai_ner_silver_eval_10k</t>
        </is>
      </c>
      <c r="E387" t="inlineStr">
        <is>
          <t>T1</t>
        </is>
      </c>
      <c r="F387" s="25" t="n"/>
      <c r="G387" t="inlineStr">
        <is>
          <t>micro_f1</t>
        </is>
      </c>
      <c r="H387" s="26" t="n">
        <v>0.202152525351274</v>
      </c>
      <c r="I387" s="26" t="n"/>
      <c r="J387" s="26" t="n"/>
      <c r="M387" t="inlineStr"/>
      <c r="N387" t="inlineStr">
        <is>
          <t>yes</t>
        </is>
      </c>
      <c r="O387" s="24" t="inlineStr"/>
    </row>
    <row r="388">
      <c r="A388" t="inlineStr">
        <is>
          <t>R7.60</t>
        </is>
      </c>
      <c r="B388" t="inlineStr">
        <is>
          <t>sensitive</t>
        </is>
      </c>
      <c r="C388" s="24" t="inlineStr">
        <is>
          <t>champion_1k</t>
        </is>
      </c>
      <c r="D388" s="24" t="inlineStr">
        <is>
          <t>betterdataai_ner_silver_eval_10k</t>
        </is>
      </c>
      <c r="E388" t="inlineStr">
        <is>
          <t>T1</t>
        </is>
      </c>
      <c r="F388" s="25" t="n"/>
      <c r="G388" t="inlineStr">
        <is>
          <t>priority_measurable</t>
        </is>
      </c>
      <c r="H388" s="26" t="n">
        <v>4</v>
      </c>
      <c r="I388" s="26" t="n"/>
      <c r="J388" s="26" t="n"/>
      <c r="M388" t="inlineStr"/>
      <c r="N388" t="inlineStr"/>
      <c r="O388" s="24" t="inlineStr"/>
    </row>
    <row r="389">
      <c r="A389" t="inlineStr">
        <is>
          <t>R7.60</t>
        </is>
      </c>
      <c r="B389" t="inlineStr">
        <is>
          <t>sensitive</t>
        </is>
      </c>
      <c r="C389" s="24" t="inlineStr">
        <is>
          <t>champion_1k</t>
        </is>
      </c>
      <c r="D389" s="24" t="inlineStr">
        <is>
          <t>betterdataai_ner_silver_eval_10k</t>
        </is>
      </c>
      <c r="E389" t="inlineStr">
        <is>
          <t>T1</t>
        </is>
      </c>
      <c r="F389" s="25" t="n"/>
      <c r="G389" t="inlineStr">
        <is>
          <t>priority_point_passes</t>
        </is>
      </c>
      <c r="H389" s="26" t="n">
        <v>4</v>
      </c>
      <c r="I389" s="26" t="n"/>
      <c r="J389" s="26" t="n"/>
      <c r="M389" t="inlineStr"/>
      <c r="N389" t="inlineStr"/>
      <c r="O389" s="24" t="inlineStr"/>
    </row>
    <row r="390">
      <c r="A390" t="inlineStr">
        <is>
          <t>R7.60</t>
        </is>
      </c>
      <c r="B390" t="inlineStr">
        <is>
          <t>sensitive</t>
        </is>
      </c>
      <c r="C390" s="24" t="inlineStr">
        <is>
          <t>champion_1k</t>
        </is>
      </c>
      <c r="D390" s="24" t="inlineStr">
        <is>
          <t>betterdataai_ner_silver_eval_10k</t>
        </is>
      </c>
      <c r="E390" t="inlineStr">
        <is>
          <t>T1</t>
        </is>
      </c>
      <c r="F390" s="25" t="n"/>
      <c r="G390" t="inlineStr">
        <is>
          <t>worst_priority_recall</t>
        </is>
      </c>
      <c r="H390" s="26" t="n">
        <v>1</v>
      </c>
      <c r="I390" s="26" t="n"/>
      <c r="J390" s="26" t="n"/>
      <c r="M390" t="inlineStr"/>
      <c r="N390" t="inlineStr"/>
      <c r="O390" s="24" t="inlineStr"/>
    </row>
    <row r="391">
      <c r="A391" t="inlineStr">
        <is>
          <t>R7.61</t>
        </is>
      </c>
      <c r="B391" t="inlineStr">
        <is>
          <t>sensitive</t>
        </is>
      </c>
      <c r="C391" s="24" t="inlineStr">
        <is>
          <t>champion_1k</t>
        </is>
      </c>
      <c r="D391" s="24" t="inlineStr">
        <is>
          <t>nemotron_eval_6k</t>
        </is>
      </c>
      <c r="E391" t="inlineStr">
        <is>
          <t>T1</t>
        </is>
      </c>
      <c r="F391" s="25" t="n"/>
      <c r="G391" t="inlineStr">
        <is>
          <t>docs_per_s</t>
        </is>
      </c>
      <c r="H391" s="26" t="n">
        <v>12225.67083958446</v>
      </c>
      <c r="I391" s="26" t="n"/>
      <c r="J391" s="26" t="n"/>
      <c r="M391" t="inlineStr"/>
      <c r="N391" t="inlineStr"/>
      <c r="O391" s="24" t="inlineStr"/>
    </row>
    <row r="392">
      <c r="A392" t="inlineStr">
        <is>
          <t>R7.61</t>
        </is>
      </c>
      <c r="B392" t="inlineStr">
        <is>
          <t>sensitive</t>
        </is>
      </c>
      <c r="C392" s="24" t="inlineStr">
        <is>
          <t>champion_1k</t>
        </is>
      </c>
      <c r="D392" s="24" t="inlineStr">
        <is>
          <t>nemotron_eval_6k</t>
        </is>
      </c>
      <c r="E392" t="inlineStr">
        <is>
          <t>T1</t>
        </is>
      </c>
      <c r="F392" s="25" t="n"/>
      <c r="G392" t="inlineStr">
        <is>
          <t>macro_f2</t>
        </is>
      </c>
      <c r="H392" s="26" t="n"/>
      <c r="I392" s="26" t="n"/>
      <c r="J392" s="26" t="n"/>
      <c r="M392" t="inlineStr"/>
      <c r="N392" t="inlineStr"/>
      <c r="O392" s="24" t="inlineStr"/>
    </row>
    <row r="393">
      <c r="A393" t="inlineStr">
        <is>
          <t>R7.61</t>
        </is>
      </c>
      <c r="B393" t="inlineStr">
        <is>
          <t>sensitive</t>
        </is>
      </c>
      <c r="C393" s="24" t="inlineStr">
        <is>
          <t>champion_1k</t>
        </is>
      </c>
      <c r="D393" s="24" t="inlineStr">
        <is>
          <t>nemotron_eval_6k</t>
        </is>
      </c>
      <c r="E393" t="inlineStr">
        <is>
          <t>T1</t>
        </is>
      </c>
      <c r="F393" s="25" t="n"/>
      <c r="G393" t="inlineStr">
        <is>
          <t>micro_f1</t>
        </is>
      </c>
      <c r="H393" s="26" t="n"/>
      <c r="I393" s="26" t="n"/>
      <c r="J393" s="26" t="n"/>
      <c r="M393" t="inlineStr"/>
      <c r="N393" t="inlineStr"/>
      <c r="O393" s="24" t="inlineStr"/>
    </row>
    <row r="394">
      <c r="A394" t="inlineStr">
        <is>
          <t>R7.61</t>
        </is>
      </c>
      <c r="B394" t="inlineStr">
        <is>
          <t>sensitive</t>
        </is>
      </c>
      <c r="C394" s="24" t="inlineStr">
        <is>
          <t>champion_1k</t>
        </is>
      </c>
      <c r="D394" s="24" t="inlineStr">
        <is>
          <t>nemotron_eval_6k</t>
        </is>
      </c>
      <c r="E394" t="inlineStr">
        <is>
          <t>T1</t>
        </is>
      </c>
      <c r="F394" s="25" t="n"/>
      <c r="G394" t="inlineStr">
        <is>
          <t>priority_measurable</t>
        </is>
      </c>
      <c r="H394" s="26" t="n">
        <v>0</v>
      </c>
      <c r="I394" s="26" t="n"/>
      <c r="J394" s="26" t="n"/>
      <c r="M394" t="inlineStr"/>
      <c r="N394" t="inlineStr"/>
      <c r="O394" s="24" t="inlineStr"/>
    </row>
    <row r="395">
      <c r="A395" t="inlineStr">
        <is>
          <t>R7.61</t>
        </is>
      </c>
      <c r="B395" t="inlineStr">
        <is>
          <t>sensitive</t>
        </is>
      </c>
      <c r="C395" s="24" t="inlineStr">
        <is>
          <t>champion_1k</t>
        </is>
      </c>
      <c r="D395" s="24" t="inlineStr">
        <is>
          <t>nemotron_eval_6k</t>
        </is>
      </c>
      <c r="E395" t="inlineStr">
        <is>
          <t>T1</t>
        </is>
      </c>
      <c r="F395" s="25" t="n"/>
      <c r="G395" t="inlineStr">
        <is>
          <t>priority_point_passes</t>
        </is>
      </c>
      <c r="H395" s="26" t="n">
        <v>0</v>
      </c>
      <c r="I395" s="26" t="n"/>
      <c r="J395" s="26" t="n"/>
      <c r="M395" t="inlineStr"/>
      <c r="N395" t="inlineStr"/>
      <c r="O395" s="24" t="inlineStr"/>
    </row>
    <row r="396">
      <c r="A396" t="inlineStr">
        <is>
          <t>R7.61</t>
        </is>
      </c>
      <c r="B396" t="inlineStr">
        <is>
          <t>sensitive</t>
        </is>
      </c>
      <c r="C396" s="24" t="inlineStr">
        <is>
          <t>champion_1k</t>
        </is>
      </c>
      <c r="D396" s="24" t="inlineStr">
        <is>
          <t>nemotron_eval_6k</t>
        </is>
      </c>
      <c r="E396" t="inlineStr">
        <is>
          <t>T1</t>
        </is>
      </c>
      <c r="F396" s="25" t="n"/>
      <c r="G396" t="inlineStr">
        <is>
          <t>worst_priority_recall</t>
        </is>
      </c>
      <c r="H396" s="26" t="n"/>
      <c r="I396" s="26" t="n"/>
      <c r="J396" s="26" t="n"/>
      <c r="M396" t="inlineStr"/>
      <c r="N396" t="inlineStr"/>
      <c r="O396" s="24" t="inlineStr"/>
    </row>
    <row r="397">
      <c r="A397" t="inlineStr">
        <is>
          <t>R7.62</t>
        </is>
      </c>
      <c r="B397" t="inlineStr">
        <is>
          <t>sensitive</t>
        </is>
      </c>
      <c r="C397" s="24" t="inlineStr">
        <is>
          <t>champion_1k</t>
        </is>
      </c>
      <c r="D397" s="24" t="inlineStr">
        <is>
          <t>openpii_pii_eval_38k</t>
        </is>
      </c>
      <c r="E397" t="inlineStr">
        <is>
          <t>T1</t>
        </is>
      </c>
      <c r="F397" s="25" t="n"/>
      <c r="G397" t="inlineStr">
        <is>
          <t>docs_per_s</t>
        </is>
      </c>
      <c r="H397" s="26" t="n">
        <v>18686.09814960974</v>
      </c>
      <c r="I397" s="26" t="n"/>
      <c r="J397" s="26" t="n"/>
      <c r="M397" t="inlineStr"/>
      <c r="N397" t="inlineStr"/>
      <c r="O397" s="24" t="inlineStr"/>
    </row>
    <row r="398">
      <c r="A398" t="inlineStr">
        <is>
          <t>R7.62</t>
        </is>
      </c>
      <c r="B398" t="inlineStr">
        <is>
          <t>sensitive</t>
        </is>
      </c>
      <c r="C398" s="24" t="inlineStr">
        <is>
          <t>champion_1k</t>
        </is>
      </c>
      <c r="D398" s="24" t="inlineStr">
        <is>
          <t>openpii_pii_eval_38k</t>
        </is>
      </c>
      <c r="E398" t="inlineStr">
        <is>
          <t>T1</t>
        </is>
      </c>
      <c r="F398" s="25" t="n"/>
      <c r="G398" t="inlineStr">
        <is>
          <t>macro_f2</t>
        </is>
      </c>
      <c r="H398" s="26" t="n">
        <v>0.6297104771777984</v>
      </c>
      <c r="I398" s="26" t="n"/>
      <c r="J398" s="26" t="n"/>
      <c r="M398" t="inlineStr"/>
      <c r="N398" t="inlineStr"/>
      <c r="O398" s="24" t="inlineStr"/>
    </row>
    <row r="399">
      <c r="A399" t="inlineStr">
        <is>
          <t>R7.62</t>
        </is>
      </c>
      <c r="B399" t="inlineStr">
        <is>
          <t>sensitive</t>
        </is>
      </c>
      <c r="C399" s="24" t="inlineStr">
        <is>
          <t>champion_1k</t>
        </is>
      </c>
      <c r="D399" s="24" t="inlineStr">
        <is>
          <t>openpii_pii_eval_38k</t>
        </is>
      </c>
      <c r="E399" t="inlineStr">
        <is>
          <t>T1</t>
        </is>
      </c>
      <c r="F399" s="25" t="n"/>
      <c r="G399" t="inlineStr">
        <is>
          <t>micro_f1</t>
        </is>
      </c>
      <c r="H399" s="26" t="n">
        <v>0.6613028187086194</v>
      </c>
      <c r="I399" s="26" t="n"/>
      <c r="J399" s="26" t="n"/>
      <c r="M399" t="inlineStr"/>
      <c r="N399" t="inlineStr">
        <is>
          <t>yes</t>
        </is>
      </c>
      <c r="O399" s="24" t="inlineStr"/>
    </row>
    <row r="400">
      <c r="A400" t="inlineStr">
        <is>
          <t>R7.62</t>
        </is>
      </c>
      <c r="B400" t="inlineStr">
        <is>
          <t>sensitive</t>
        </is>
      </c>
      <c r="C400" s="24" t="inlineStr">
        <is>
          <t>champion_1k</t>
        </is>
      </c>
      <c r="D400" s="24" t="inlineStr">
        <is>
          <t>openpii_pii_eval_38k</t>
        </is>
      </c>
      <c r="E400" t="inlineStr">
        <is>
          <t>T1</t>
        </is>
      </c>
      <c r="F400" s="25" t="n"/>
      <c r="G400" t="inlineStr">
        <is>
          <t>priority_measurable</t>
        </is>
      </c>
      <c r="H400" s="26" t="n">
        <v>9</v>
      </c>
      <c r="I400" s="26" t="n"/>
      <c r="J400" s="26" t="n"/>
      <c r="M400" t="inlineStr"/>
      <c r="N400" t="inlineStr"/>
      <c r="O400" s="24" t="inlineStr"/>
    </row>
    <row r="401">
      <c r="A401" t="inlineStr">
        <is>
          <t>R7.62</t>
        </is>
      </c>
      <c r="B401" t="inlineStr">
        <is>
          <t>sensitive</t>
        </is>
      </c>
      <c r="C401" s="24" t="inlineStr">
        <is>
          <t>champion_1k</t>
        </is>
      </c>
      <c r="D401" s="24" t="inlineStr">
        <is>
          <t>openpii_pii_eval_38k</t>
        </is>
      </c>
      <c r="E401" t="inlineStr">
        <is>
          <t>T1</t>
        </is>
      </c>
      <c r="F401" s="25" t="n"/>
      <c r="G401" t="inlineStr">
        <is>
          <t>priority_point_passes</t>
        </is>
      </c>
      <c r="H401" s="26" t="n">
        <v>9</v>
      </c>
      <c r="I401" s="26" t="n"/>
      <c r="J401" s="26" t="n"/>
      <c r="M401" t="inlineStr"/>
      <c r="N401" t="inlineStr"/>
      <c r="O401" s="24" t="inlineStr"/>
    </row>
    <row r="402">
      <c r="A402" t="inlineStr">
        <is>
          <t>R7.62</t>
        </is>
      </c>
      <c r="B402" t="inlineStr">
        <is>
          <t>sensitive</t>
        </is>
      </c>
      <c r="C402" s="24" t="inlineStr">
        <is>
          <t>champion_1k</t>
        </is>
      </c>
      <c r="D402" s="24" t="inlineStr">
        <is>
          <t>openpii_pii_eval_38k</t>
        </is>
      </c>
      <c r="E402" t="inlineStr">
        <is>
          <t>T1</t>
        </is>
      </c>
      <c r="F402" s="25" t="n"/>
      <c r="G402" t="inlineStr">
        <is>
          <t>worst_priority_recall</t>
        </is>
      </c>
      <c r="H402" s="26" t="n">
        <v>0.9997093656906197</v>
      </c>
      <c r="I402" s="26" t="n"/>
      <c r="J402" s="26" t="n"/>
      <c r="M402" t="inlineStr"/>
      <c r="N402" t="inlineStr"/>
      <c r="O402" s="24" t="inlineStr"/>
    </row>
    <row r="403">
      <c r="A403" t="inlineStr">
        <is>
          <t>R7.63</t>
        </is>
      </c>
      <c r="B403" t="inlineStr">
        <is>
          <t>sensitive</t>
        </is>
      </c>
      <c r="C403" s="24" t="inlineStr">
        <is>
          <t>champion_1k</t>
        </is>
      </c>
      <c r="D403" s="24" t="inlineStr">
        <is>
          <t>pii2_eval_30k</t>
        </is>
      </c>
      <c r="E403" t="inlineStr">
        <is>
          <t>T1</t>
        </is>
      </c>
      <c r="F403" s="25" t="n"/>
      <c r="G403" t="inlineStr">
        <is>
          <t>docs_per_s</t>
        </is>
      </c>
      <c r="H403" s="26" t="n">
        <v>8913.173496912608</v>
      </c>
      <c r="I403" s="26" t="n"/>
      <c r="J403" s="26" t="n"/>
      <c r="M403" t="inlineStr"/>
      <c r="N403" t="inlineStr"/>
      <c r="O403" s="24" t="inlineStr"/>
    </row>
    <row r="404">
      <c r="A404" t="inlineStr">
        <is>
          <t>R7.63</t>
        </is>
      </c>
      <c r="B404" t="inlineStr">
        <is>
          <t>sensitive</t>
        </is>
      </c>
      <c r="C404" s="24" t="inlineStr">
        <is>
          <t>champion_1k</t>
        </is>
      </c>
      <c r="D404" s="24" t="inlineStr">
        <is>
          <t>pii2_eval_30k</t>
        </is>
      </c>
      <c r="E404" t="inlineStr">
        <is>
          <t>T1</t>
        </is>
      </c>
      <c r="F404" s="25" t="n"/>
      <c r="G404" t="inlineStr">
        <is>
          <t>macro_f2</t>
        </is>
      </c>
      <c r="H404" s="26" t="n">
        <v>0.4929797300264903</v>
      </c>
      <c r="I404" s="26" t="n"/>
      <c r="J404" s="26" t="n"/>
      <c r="M404" t="inlineStr"/>
      <c r="N404" t="inlineStr"/>
      <c r="O404" s="24" t="inlineStr"/>
    </row>
    <row r="405">
      <c r="A405" t="inlineStr">
        <is>
          <t>R7.63</t>
        </is>
      </c>
      <c r="B405" t="inlineStr">
        <is>
          <t>sensitive</t>
        </is>
      </c>
      <c r="C405" s="24" t="inlineStr">
        <is>
          <t>champion_1k</t>
        </is>
      </c>
      <c r="D405" s="24" t="inlineStr">
        <is>
          <t>pii2_eval_30k</t>
        </is>
      </c>
      <c r="E405" t="inlineStr">
        <is>
          <t>T1</t>
        </is>
      </c>
      <c r="F405" s="25" t="n"/>
      <c r="G405" t="inlineStr">
        <is>
          <t>micro_f1</t>
        </is>
      </c>
      <c r="H405" s="26" t="n">
        <v>0.2082437745321917</v>
      </c>
      <c r="I405" s="26" t="n"/>
      <c r="J405" s="26" t="n"/>
      <c r="M405" t="inlineStr"/>
      <c r="N405" t="inlineStr">
        <is>
          <t>yes</t>
        </is>
      </c>
      <c r="O405" s="24" t="inlineStr"/>
    </row>
    <row r="406">
      <c r="A406" t="inlineStr">
        <is>
          <t>R7.63</t>
        </is>
      </c>
      <c r="B406" t="inlineStr">
        <is>
          <t>sensitive</t>
        </is>
      </c>
      <c r="C406" s="24" t="inlineStr">
        <is>
          <t>champion_1k</t>
        </is>
      </c>
      <c r="D406" s="24" t="inlineStr">
        <is>
          <t>pii2_eval_30k</t>
        </is>
      </c>
      <c r="E406" t="inlineStr">
        <is>
          <t>T1</t>
        </is>
      </c>
      <c r="F406" s="25" t="n"/>
      <c r="G406" t="inlineStr">
        <is>
          <t>priority_measurable</t>
        </is>
      </c>
      <c r="H406" s="26" t="n">
        <v>15</v>
      </c>
      <c r="I406" s="26" t="n"/>
      <c r="J406" s="26" t="n"/>
      <c r="M406" t="inlineStr"/>
      <c r="N406" t="inlineStr"/>
      <c r="O406" s="24" t="inlineStr"/>
    </row>
    <row r="407">
      <c r="A407" t="inlineStr">
        <is>
          <t>R7.63</t>
        </is>
      </c>
      <c r="B407" t="inlineStr">
        <is>
          <t>sensitive</t>
        </is>
      </c>
      <c r="C407" s="24" t="inlineStr">
        <is>
          <t>champion_1k</t>
        </is>
      </c>
      <c r="D407" s="24" t="inlineStr">
        <is>
          <t>pii2_eval_30k</t>
        </is>
      </c>
      <c r="E407" t="inlineStr">
        <is>
          <t>T1</t>
        </is>
      </c>
      <c r="F407" s="25" t="n"/>
      <c r="G407" t="inlineStr">
        <is>
          <t>priority_point_passes</t>
        </is>
      </c>
      <c r="H407" s="26" t="n">
        <v>15</v>
      </c>
      <c r="I407" s="26" t="n"/>
      <c r="J407" s="26" t="n"/>
      <c r="M407" t="inlineStr"/>
      <c r="N407" t="inlineStr"/>
      <c r="O407" s="24" t="inlineStr"/>
    </row>
    <row r="408">
      <c r="A408" t="inlineStr">
        <is>
          <t>R7.63</t>
        </is>
      </c>
      <c r="B408" t="inlineStr">
        <is>
          <t>sensitive</t>
        </is>
      </c>
      <c r="C408" s="24" t="inlineStr">
        <is>
          <t>champion_1k</t>
        </is>
      </c>
      <c r="D408" s="24" t="inlineStr">
        <is>
          <t>pii2_eval_30k</t>
        </is>
      </c>
      <c r="E408" t="inlineStr">
        <is>
          <t>T1</t>
        </is>
      </c>
      <c r="F408" s="25" t="n"/>
      <c r="G408" t="inlineStr">
        <is>
          <t>worst_priority_recall</t>
        </is>
      </c>
      <c r="H408" s="26" t="n">
        <v>0.9957805907172996</v>
      </c>
      <c r="I408" s="26" t="n"/>
      <c r="J408" s="26" t="n"/>
      <c r="M408" t="inlineStr"/>
      <c r="N408" t="inlineStr"/>
      <c r="O408" s="24" t="inlineStr"/>
    </row>
    <row r="409">
      <c r="A409" t="inlineStr">
        <is>
          <t>R7.64</t>
        </is>
      </c>
      <c r="B409" t="inlineStr">
        <is>
          <t>sensitive</t>
        </is>
      </c>
      <c r="C409" s="24" t="inlineStr">
        <is>
          <t>champion_1k</t>
        </is>
      </c>
      <c r="D409" s="24" t="inlineStr">
        <is>
          <t>pii_holdout_20k</t>
        </is>
      </c>
      <c r="E409" t="inlineStr">
        <is>
          <t>T1</t>
        </is>
      </c>
      <c r="F409" s="25" t="n"/>
      <c r="G409" t="inlineStr">
        <is>
          <t>docs_per_s</t>
        </is>
      </c>
      <c r="H409" s="26" t="n">
        <v>9371.514623933856</v>
      </c>
      <c r="I409" s="26" t="n"/>
      <c r="J409" s="26" t="n"/>
      <c r="M409" t="inlineStr"/>
      <c r="N409" t="inlineStr"/>
      <c r="O409" s="24" t="inlineStr"/>
    </row>
    <row r="410">
      <c r="A410" t="inlineStr">
        <is>
          <t>R7.64</t>
        </is>
      </c>
      <c r="B410" t="inlineStr">
        <is>
          <t>sensitive</t>
        </is>
      </c>
      <c r="C410" s="24" t="inlineStr">
        <is>
          <t>champion_1k</t>
        </is>
      </c>
      <c r="D410" s="24" t="inlineStr">
        <is>
          <t>pii_holdout_20k</t>
        </is>
      </c>
      <c r="E410" t="inlineStr">
        <is>
          <t>T1</t>
        </is>
      </c>
      <c r="F410" s="25" t="n"/>
      <c r="G410" t="inlineStr">
        <is>
          <t>macro_f2</t>
        </is>
      </c>
      <c r="H410" s="26" t="n">
        <v>0.5637970921334997</v>
      </c>
      <c r="I410" s="26" t="n"/>
      <c r="J410" s="26" t="n"/>
      <c r="M410" t="inlineStr"/>
      <c r="N410" t="inlineStr"/>
      <c r="O410" s="24" t="inlineStr"/>
    </row>
    <row r="411">
      <c r="A411" t="inlineStr">
        <is>
          <t>R7.64</t>
        </is>
      </c>
      <c r="B411" t="inlineStr">
        <is>
          <t>sensitive</t>
        </is>
      </c>
      <c r="C411" s="24" t="inlineStr">
        <is>
          <t>champion_1k</t>
        </is>
      </c>
      <c r="D411" s="24" t="inlineStr">
        <is>
          <t>pii_holdout_20k</t>
        </is>
      </c>
      <c r="E411" t="inlineStr">
        <is>
          <t>T1</t>
        </is>
      </c>
      <c r="F411" s="25" t="n"/>
      <c r="G411" t="inlineStr">
        <is>
          <t>micro_f1</t>
        </is>
      </c>
      <c r="H411" s="26" t="n">
        <v>0.4813113171335136</v>
      </c>
      <c r="I411" s="26" t="n"/>
      <c r="J411" s="26" t="n"/>
      <c r="M411" t="inlineStr"/>
      <c r="N411" t="inlineStr">
        <is>
          <t>yes</t>
        </is>
      </c>
      <c r="O411" s="24" t="inlineStr"/>
    </row>
    <row r="412">
      <c r="A412" t="inlineStr">
        <is>
          <t>R7.64</t>
        </is>
      </c>
      <c r="B412" t="inlineStr">
        <is>
          <t>sensitive</t>
        </is>
      </c>
      <c r="C412" s="24" t="inlineStr">
        <is>
          <t>champion_1k</t>
        </is>
      </c>
      <c r="D412" s="24" t="inlineStr">
        <is>
          <t>pii_holdout_20k</t>
        </is>
      </c>
      <c r="E412" t="inlineStr">
        <is>
          <t>T1</t>
        </is>
      </c>
      <c r="F412" s="25" t="n"/>
      <c r="G412" t="inlineStr">
        <is>
          <t>priority_measurable</t>
        </is>
      </c>
      <c r="H412" s="26" t="n">
        <v>14</v>
      </c>
      <c r="I412" s="26" t="n"/>
      <c r="J412" s="26" t="n"/>
      <c r="M412" t="inlineStr"/>
      <c r="N412" t="inlineStr"/>
      <c r="O412" s="24" t="inlineStr"/>
    </row>
    <row r="413">
      <c r="A413" t="inlineStr">
        <is>
          <t>R7.64</t>
        </is>
      </c>
      <c r="B413" t="inlineStr">
        <is>
          <t>sensitive</t>
        </is>
      </c>
      <c r="C413" s="24" t="inlineStr">
        <is>
          <t>champion_1k</t>
        </is>
      </c>
      <c r="D413" s="24" t="inlineStr">
        <is>
          <t>pii_holdout_20k</t>
        </is>
      </c>
      <c r="E413" t="inlineStr">
        <is>
          <t>T1</t>
        </is>
      </c>
      <c r="F413" s="25" t="n"/>
      <c r="G413" t="inlineStr">
        <is>
          <t>priority_point_passes</t>
        </is>
      </c>
      <c r="H413" s="26" t="n">
        <v>14</v>
      </c>
      <c r="I413" s="26" t="n"/>
      <c r="J413" s="26" t="n"/>
      <c r="M413" t="inlineStr"/>
      <c r="N413" t="inlineStr"/>
      <c r="O413" s="24" t="inlineStr"/>
    </row>
    <row r="414">
      <c r="A414" t="inlineStr">
        <is>
          <t>R7.64</t>
        </is>
      </c>
      <c r="B414" t="inlineStr">
        <is>
          <t>sensitive</t>
        </is>
      </c>
      <c r="C414" s="24" t="inlineStr">
        <is>
          <t>champion_1k</t>
        </is>
      </c>
      <c r="D414" s="24" t="inlineStr">
        <is>
          <t>pii_holdout_20k</t>
        </is>
      </c>
      <c r="E414" t="inlineStr">
        <is>
          <t>T1</t>
        </is>
      </c>
      <c r="F414" s="25" t="n"/>
      <c r="G414" t="inlineStr">
        <is>
          <t>worst_priority_recall</t>
        </is>
      </c>
      <c r="H414" s="26" t="n">
        <v>0.9943502824858758</v>
      </c>
      <c r="I414" s="26" t="n"/>
      <c r="J414" s="26" t="n"/>
      <c r="M414" t="inlineStr"/>
      <c r="N414" t="inlineStr"/>
      <c r="O414" s="24" t="inlineStr"/>
    </row>
    <row r="415">
      <c r="A415" t="inlineStr">
        <is>
          <t>R7.65</t>
        </is>
      </c>
      <c r="B415" t="inlineStr">
        <is>
          <t>sensitive</t>
        </is>
      </c>
      <c r="C415" s="24" t="inlineStr">
        <is>
          <t>champion_1k_bootstrap</t>
        </is>
      </c>
      <c r="D415" s="24" t="inlineStr">
        <is>
          <t>8 holdouts (5 complete for F2)</t>
        </is>
      </c>
      <c r="E415" t="inlineStr">
        <is>
          <t>T1</t>
        </is>
      </c>
      <c r="F415" s="25" t="n">
        <v>126129</v>
      </c>
      <c r="G415" t="inlineStr">
        <is>
          <t>docs_per_s</t>
        </is>
      </c>
      <c r="H415" s="26" t="n">
        <v>919.1197682993916</v>
      </c>
      <c r="I415" s="26" t="n"/>
      <c r="J415" s="26" t="n"/>
      <c r="M415" t="inlineStr">
        <is>
          <t>yes</t>
        </is>
      </c>
      <c r="N415" t="inlineStr"/>
      <c r="O415" s="24" t="inlineStr"/>
    </row>
    <row r="416">
      <c r="A416" t="inlineStr">
        <is>
          <t>R7.65</t>
        </is>
      </c>
      <c r="B416" t="inlineStr">
        <is>
          <t>sensitive</t>
        </is>
      </c>
      <c r="C416" s="24" t="inlineStr">
        <is>
          <t>champion_1k_bootstrap</t>
        </is>
      </c>
      <c r="D416" s="24" t="inlineStr">
        <is>
          <t>8 holdouts (5 complete for F2)</t>
        </is>
      </c>
      <c r="E416" t="inlineStr">
        <is>
          <t>T1</t>
        </is>
      </c>
      <c r="F416" s="25" t="n">
        <v>126129</v>
      </c>
      <c r="G416" t="inlineStr">
        <is>
          <t>latency_p95_ms</t>
        </is>
      </c>
      <c r="H416" s="26" t="n">
        <v>2.2000839</v>
      </c>
      <c r="I416" s="26" t="n"/>
      <c r="J416" s="26" t="n"/>
      <c r="M416" t="inlineStr">
        <is>
          <t>no</t>
        </is>
      </c>
      <c r="N416" t="inlineStr"/>
      <c r="O416" s="24" t="inlineStr"/>
    </row>
    <row r="417">
      <c r="A417" t="inlineStr">
        <is>
          <t>R7.65</t>
        </is>
      </c>
      <c r="B417" t="inlineStr">
        <is>
          <t>sensitive</t>
        </is>
      </c>
      <c r="C417" s="24" t="inlineStr">
        <is>
          <t>champion_1k_bootstrap</t>
        </is>
      </c>
      <c r="D417" s="24" t="inlineStr">
        <is>
          <t>8 holdouts (5 complete for F2)</t>
        </is>
      </c>
      <c r="E417" t="inlineStr">
        <is>
          <t>T1</t>
        </is>
      </c>
      <c r="F417" s="25" t="n">
        <v>126129</v>
      </c>
      <c r="G417" t="inlineStr">
        <is>
          <t>macro_f2</t>
        </is>
      </c>
      <c r="H417" s="26" t="n">
        <v>0.4834574938201012</v>
      </c>
      <c r="I417" s="26" t="n">
        <v>0.350105581199478</v>
      </c>
      <c r="J417" s="26" t="n">
        <v>0.589181650738677</v>
      </c>
      <c r="K417" t="n">
        <v>0.95</v>
      </c>
      <c r="L417" t="n">
        <v>1000</v>
      </c>
      <c r="M417" t="inlineStr">
        <is>
          <t>yes</t>
        </is>
      </c>
      <c r="N417" t="inlineStr">
        <is>
          <t>yes</t>
        </is>
      </c>
      <c r="O417" s="24" t="inlineStr"/>
    </row>
    <row r="418">
      <c r="A418" t="inlineStr">
        <is>
          <t>R7.65</t>
        </is>
      </c>
      <c r="B418" t="inlineStr">
        <is>
          <t>sensitive</t>
        </is>
      </c>
      <c r="C418" s="24" t="inlineStr">
        <is>
          <t>champion_1k_bootstrap</t>
        </is>
      </c>
      <c r="D418" s="24" t="inlineStr">
        <is>
          <t>8 holdouts (5 complete for F2)</t>
        </is>
      </c>
      <c r="E418" t="inlineStr">
        <is>
          <t>T1</t>
        </is>
      </c>
      <c r="F418" s="25" t="n">
        <v>126129</v>
      </c>
      <c r="G418" t="inlineStr">
        <is>
          <t>micro_f1</t>
        </is>
      </c>
      <c r="H418" s="26" t="n">
        <v>0.3811839608053426</v>
      </c>
      <c r="I418" s="26" t="n">
        <v>0.2347403936136091</v>
      </c>
      <c r="J418" s="26" t="n">
        <v>0.5347740277829951</v>
      </c>
      <c r="K418" t="n">
        <v>0.95</v>
      </c>
      <c r="L418" t="n">
        <v>1000</v>
      </c>
      <c r="M418" t="inlineStr">
        <is>
          <t>yes</t>
        </is>
      </c>
      <c r="N418" t="inlineStr"/>
      <c r="O418" s="24" t="inlineStr"/>
    </row>
    <row r="419">
      <c r="A419" t="inlineStr">
        <is>
          <t>R7.65</t>
        </is>
      </c>
      <c r="B419" t="inlineStr">
        <is>
          <t>sensitive</t>
        </is>
      </c>
      <c r="C419" s="24" t="inlineStr">
        <is>
          <t>champion_1k_bootstrap</t>
        </is>
      </c>
      <c r="D419" s="24" t="inlineStr">
        <is>
          <t>8 holdouts (5 complete for F2)</t>
        </is>
      </c>
      <c r="E419" t="inlineStr">
        <is>
          <t>T1</t>
        </is>
      </c>
      <c r="F419" s="25" t="n">
        <v>126129</v>
      </c>
      <c r="G419" t="inlineStr">
        <is>
          <t>priority_conclusive_passes</t>
        </is>
      </c>
      <c r="H419" s="26" t="n">
        <v>55</v>
      </c>
      <c r="I419" s="26" t="n"/>
      <c r="J419" s="26" t="n"/>
      <c r="M419" t="inlineStr">
        <is>
          <t>yes</t>
        </is>
      </c>
      <c r="N419" t="inlineStr"/>
      <c r="O419" s="24" t="inlineStr"/>
    </row>
    <row r="420">
      <c r="A420" t="inlineStr">
        <is>
          <t>R7.65</t>
        </is>
      </c>
      <c r="B420" t="inlineStr">
        <is>
          <t>sensitive</t>
        </is>
      </c>
      <c r="C420" s="24" t="inlineStr">
        <is>
          <t>champion_1k_bootstrap</t>
        </is>
      </c>
      <c r="D420" s="24" t="inlineStr">
        <is>
          <t>8 holdouts (5 complete for F2)</t>
        </is>
      </c>
      <c r="E420" t="inlineStr">
        <is>
          <t>T1</t>
        </is>
      </c>
      <c r="F420" s="25" t="n">
        <v>126129</v>
      </c>
      <c r="G420" t="inlineStr">
        <is>
          <t>worst_priority_recall</t>
        </is>
      </c>
      <c r="H420" s="26" t="n">
        <v>0.9887766554433222</v>
      </c>
      <c r="I420" s="26" t="n"/>
      <c r="J420" s="26" t="n"/>
      <c r="M420" t="inlineStr">
        <is>
          <t>yes</t>
        </is>
      </c>
      <c r="N420" t="inlineStr"/>
      <c r="O420" s="24" t="inlineStr"/>
    </row>
    <row r="421">
      <c r="A421" t="inlineStr">
        <is>
          <t>R7.66</t>
        </is>
      </c>
      <c r="B421" t="inlineStr">
        <is>
          <t>sensitive</t>
        </is>
      </c>
      <c r="C421" s="24" t="inlineStr">
        <is>
          <t>hash_sgd_readpass</t>
        </is>
      </c>
      <c r="D421" s="24" t="inlineStr">
        <is>
          <t>8 holdouts / fixed 1,000-doc latency sample</t>
        </is>
      </c>
      <c r="E421" t="inlineStr">
        <is>
          <t>T1</t>
        </is>
      </c>
      <c r="F421" s="25" t="n">
        <v>1000</v>
      </c>
      <c r="G421" t="inlineStr">
        <is>
          <t>docs_per_s</t>
        </is>
      </c>
      <c r="H421" s="26" t="n">
        <v>2139.678544923074</v>
      </c>
      <c r="I421" s="26" t="n"/>
      <c r="J421" s="26" t="n"/>
      <c r="M421" t="inlineStr">
        <is>
          <t>yes</t>
        </is>
      </c>
      <c r="N421" t="inlineStr"/>
      <c r="O421" s="24" t="inlineStr"/>
    </row>
    <row r="422">
      <c r="A422" t="inlineStr">
        <is>
          <t>R7.66</t>
        </is>
      </c>
      <c r="B422" t="inlineStr">
        <is>
          <t>sensitive</t>
        </is>
      </c>
      <c r="C422" s="24" t="inlineStr">
        <is>
          <t>hash_sgd_readpass</t>
        </is>
      </c>
      <c r="D422" s="24" t="inlineStr">
        <is>
          <t>8 holdouts / fixed 1,000-doc latency sample</t>
        </is>
      </c>
      <c r="E422" t="inlineStr">
        <is>
          <t>T1</t>
        </is>
      </c>
      <c r="F422" s="25" t="n">
        <v>1000</v>
      </c>
      <c r="G422" t="inlineStr">
        <is>
          <t>latency_p50_ms</t>
        </is>
      </c>
      <c r="H422" s="26" t="n">
        <v>0.3917225</v>
      </c>
      <c r="I422" s="26" t="n"/>
      <c r="J422" s="26" t="n"/>
      <c r="M422" t="inlineStr">
        <is>
          <t>no</t>
        </is>
      </c>
      <c r="N422" t="inlineStr"/>
      <c r="O422" s="24" t="inlineStr"/>
    </row>
    <row r="423">
      <c r="A423" t="inlineStr">
        <is>
          <t>R7.66</t>
        </is>
      </c>
      <c r="B423" t="inlineStr">
        <is>
          <t>sensitive</t>
        </is>
      </c>
      <c r="C423" s="24" t="inlineStr">
        <is>
          <t>hash_sgd_readpass</t>
        </is>
      </c>
      <c r="D423" s="24" t="inlineStr">
        <is>
          <t>8 holdouts / fixed 1,000-doc latency sample</t>
        </is>
      </c>
      <c r="E423" t="inlineStr">
        <is>
          <t>T1</t>
        </is>
      </c>
      <c r="F423" s="25" t="n">
        <v>1000</v>
      </c>
      <c r="G423" t="inlineStr">
        <is>
          <t>latency_p95_ms</t>
        </is>
      </c>
      <c r="H423" s="26" t="n">
        <v>1.0153935</v>
      </c>
      <c r="I423" s="26" t="n"/>
      <c r="J423" s="26" t="n"/>
      <c r="M423" t="inlineStr">
        <is>
          <t>no</t>
        </is>
      </c>
      <c r="N423" t="inlineStr"/>
      <c r="O423" s="24" t="inlineStr"/>
    </row>
    <row r="424">
      <c r="A424" t="inlineStr">
        <is>
          <t>R7.66</t>
        </is>
      </c>
      <c r="B424" t="inlineStr">
        <is>
          <t>sensitive</t>
        </is>
      </c>
      <c r="C424" s="24" t="inlineStr">
        <is>
          <t>hash_sgd_readpass</t>
        </is>
      </c>
      <c r="D424" s="24" t="inlineStr">
        <is>
          <t>8 holdouts / fixed 1,000-doc latency sample</t>
        </is>
      </c>
      <c r="E424" t="inlineStr">
        <is>
          <t>T1</t>
        </is>
      </c>
      <c r="F424" s="25" t="n">
        <v>1000</v>
      </c>
      <c r="G424" t="inlineStr">
        <is>
          <t>latency_p99_ms</t>
        </is>
      </c>
      <c r="H424" s="26" t="n">
        <v>1.10874815</v>
      </c>
      <c r="I424" s="26" t="n"/>
      <c r="J424" s="26" t="n"/>
      <c r="M424" t="inlineStr">
        <is>
          <t>no</t>
        </is>
      </c>
      <c r="N424" t="inlineStr"/>
      <c r="O424" s="24" t="inlineStr"/>
    </row>
    <row r="425">
      <c r="A425" t="inlineStr">
        <is>
          <t>R7.66</t>
        </is>
      </c>
      <c r="B425" t="inlineStr">
        <is>
          <t>sensitive</t>
        </is>
      </c>
      <c r="C425" s="24" t="inlineStr">
        <is>
          <t>hash_sgd_readpass</t>
        </is>
      </c>
      <c r="D425" s="24" t="inlineStr">
        <is>
          <t>8 holdouts / fixed 1,000-doc latency sample</t>
        </is>
      </c>
      <c r="E425" t="inlineStr">
        <is>
          <t>T1</t>
        </is>
      </c>
      <c r="F425" s="25" t="n">
        <v>1000</v>
      </c>
      <c r="G425" t="inlineStr">
        <is>
          <t>macro_f2</t>
        </is>
      </c>
      <c r="H425" s="26" t="n">
        <v>0.4313588275274323</v>
      </c>
      <c r="I425" s="26" t="n"/>
      <c r="J425" s="26" t="n"/>
      <c r="M425" t="inlineStr">
        <is>
          <t>yes</t>
        </is>
      </c>
      <c r="N425" t="inlineStr">
        <is>
          <t>yes</t>
        </is>
      </c>
      <c r="O425" s="24" t="inlineStr"/>
    </row>
    <row r="426">
      <c r="A426" t="inlineStr">
        <is>
          <t>R7.66</t>
        </is>
      </c>
      <c r="B426" t="inlineStr">
        <is>
          <t>sensitive</t>
        </is>
      </c>
      <c r="C426" s="24" t="inlineStr">
        <is>
          <t>hash_sgd_readpass</t>
        </is>
      </c>
      <c r="D426" s="24" t="inlineStr">
        <is>
          <t>8 holdouts / fixed 1,000-doc latency sample</t>
        </is>
      </c>
      <c r="E426" t="inlineStr">
        <is>
          <t>T1</t>
        </is>
      </c>
      <c r="F426" s="25" t="n">
        <v>1000</v>
      </c>
      <c r="G426" t="inlineStr">
        <is>
          <t>micro_f1</t>
        </is>
      </c>
      <c r="H426" s="26" t="n">
        <v>0.3535723460464226</v>
      </c>
      <c r="I426" s="26" t="n"/>
      <c r="J426" s="26" t="n"/>
      <c r="M426" t="inlineStr">
        <is>
          <t>yes</t>
        </is>
      </c>
      <c r="N426" t="inlineStr"/>
      <c r="O426" s="24" t="inlineStr"/>
    </row>
    <row r="427">
      <c r="A427" t="inlineStr">
        <is>
          <t>R7.66</t>
        </is>
      </c>
      <c r="B427" t="inlineStr">
        <is>
          <t>sensitive</t>
        </is>
      </c>
      <c r="C427" s="24" t="inlineStr">
        <is>
          <t>hash_sgd_readpass</t>
        </is>
      </c>
      <c r="D427" s="24" t="inlineStr">
        <is>
          <t>8 holdouts / fixed 1,000-doc latency sample</t>
        </is>
      </c>
      <c r="E427" t="inlineStr">
        <is>
          <t>T1</t>
        </is>
      </c>
      <c r="F427" s="25" t="n">
        <v>1000</v>
      </c>
      <c r="G427" t="inlineStr">
        <is>
          <t>peak_rss_mb</t>
        </is>
      </c>
      <c r="H427" s="26" t="n">
        <v>1000.8984375</v>
      </c>
      <c r="I427" s="26" t="n"/>
      <c r="J427" s="26" t="n"/>
      <c r="M427" t="inlineStr">
        <is>
          <t>no</t>
        </is>
      </c>
      <c r="N427" t="inlineStr"/>
      <c r="O427" s="24" t="inlineStr"/>
    </row>
    <row r="428">
      <c r="A428" t="inlineStr">
        <is>
          <t>R7.66</t>
        </is>
      </c>
      <c r="B428" t="inlineStr">
        <is>
          <t>sensitive</t>
        </is>
      </c>
      <c r="C428" s="24" t="inlineStr">
        <is>
          <t>hash_sgd_readpass</t>
        </is>
      </c>
      <c r="D428" s="24" t="inlineStr">
        <is>
          <t>8 holdouts / fixed 1,000-doc latency sample</t>
        </is>
      </c>
      <c r="E428" t="inlineStr">
        <is>
          <t>T1</t>
        </is>
      </c>
      <c r="F428" s="25" t="n">
        <v>1000</v>
      </c>
      <c r="G428" t="inlineStr">
        <is>
          <t>priority_point_passes</t>
        </is>
      </c>
      <c r="H428" s="26" t="n">
        <v>55</v>
      </c>
      <c r="I428" s="26" t="n"/>
      <c r="J428" s="26" t="n"/>
      <c r="M428" t="inlineStr">
        <is>
          <t>yes</t>
        </is>
      </c>
      <c r="N428" t="inlineStr"/>
      <c r="O428" s="24" t="inlineStr"/>
    </row>
    <row r="429">
      <c r="A429" t="inlineStr">
        <is>
          <t>R7.66</t>
        </is>
      </c>
      <c r="B429" t="inlineStr">
        <is>
          <t>sensitive</t>
        </is>
      </c>
      <c r="C429" s="24" t="inlineStr">
        <is>
          <t>hash_sgd_readpass</t>
        </is>
      </c>
      <c r="D429" s="24" t="inlineStr">
        <is>
          <t>8 holdouts / fixed 1,000-doc latency sample</t>
        </is>
      </c>
      <c r="E429" t="inlineStr">
        <is>
          <t>T1</t>
        </is>
      </c>
      <c r="F429" s="25" t="n">
        <v>1000</v>
      </c>
      <c r="G429" t="inlineStr">
        <is>
          <t>worst_priority_recall</t>
        </is>
      </c>
      <c r="H429" s="26" t="n">
        <v>0.9887766554433222</v>
      </c>
      <c r="I429" s="26" t="n"/>
      <c r="J429" s="26" t="n"/>
      <c r="M429" t="inlineStr">
        <is>
          <t>yes</t>
        </is>
      </c>
      <c r="N429" t="inlineStr"/>
      <c r="O429" s="24" t="inlineStr"/>
    </row>
    <row r="430">
      <c r="A430" t="inlineStr">
        <is>
          <t>R7.67</t>
        </is>
      </c>
      <c r="B430" t="inlineStr">
        <is>
          <t>sensitive</t>
        </is>
      </c>
      <c r="C430" s="24" t="inlineStr">
        <is>
          <t>hash_sgd_readpass</t>
        </is>
      </c>
      <c r="D430" s="24" t="inlineStr">
        <is>
          <t>8 holdouts / fixed 1,000-doc latency sample</t>
        </is>
      </c>
      <c r="E430" t="inlineStr">
        <is>
          <t>T1</t>
        </is>
      </c>
      <c r="F430" s="25" t="n">
        <v>1000</v>
      </c>
      <c r="G430" t="inlineStr">
        <is>
          <t>docs_per_s</t>
        </is>
      </c>
      <c r="H430" s="26" t="n">
        <v>1253.844196971516</v>
      </c>
      <c r="I430" s="26" t="n"/>
      <c r="J430" s="26" t="n"/>
      <c r="M430" t="inlineStr">
        <is>
          <t>yes</t>
        </is>
      </c>
      <c r="N430" t="inlineStr"/>
      <c r="O430" s="24" t="inlineStr"/>
    </row>
    <row r="431">
      <c r="A431" t="inlineStr">
        <is>
          <t>R7.67</t>
        </is>
      </c>
      <c r="B431" t="inlineStr">
        <is>
          <t>sensitive</t>
        </is>
      </c>
      <c r="C431" s="24" t="inlineStr">
        <is>
          <t>hash_sgd_readpass</t>
        </is>
      </c>
      <c r="D431" s="24" t="inlineStr">
        <is>
          <t>8 holdouts / fixed 1,000-doc latency sample</t>
        </is>
      </c>
      <c r="E431" t="inlineStr">
        <is>
          <t>T1</t>
        </is>
      </c>
      <c r="F431" s="25" t="n">
        <v>1000</v>
      </c>
      <c r="G431" t="inlineStr">
        <is>
          <t>latency_p50_ms</t>
        </is>
      </c>
      <c r="H431" s="26" t="n">
        <v>0.4112025</v>
      </c>
      <c r="I431" s="26" t="n"/>
      <c r="J431" s="26" t="n"/>
      <c r="M431" t="inlineStr">
        <is>
          <t>no</t>
        </is>
      </c>
      <c r="N431" t="inlineStr"/>
      <c r="O431" s="24" t="inlineStr"/>
    </row>
    <row r="432">
      <c r="A432" t="inlineStr">
        <is>
          <t>R7.67</t>
        </is>
      </c>
      <c r="B432" t="inlineStr">
        <is>
          <t>sensitive</t>
        </is>
      </c>
      <c r="C432" s="24" t="inlineStr">
        <is>
          <t>hash_sgd_readpass</t>
        </is>
      </c>
      <c r="D432" s="24" t="inlineStr">
        <is>
          <t>8 holdouts / fixed 1,000-doc latency sample</t>
        </is>
      </c>
      <c r="E432" t="inlineStr">
        <is>
          <t>T1</t>
        </is>
      </c>
      <c r="F432" s="25" t="n">
        <v>1000</v>
      </c>
      <c r="G432" t="inlineStr">
        <is>
          <t>latency_p95_ms</t>
        </is>
      </c>
      <c r="H432" s="26" t="n">
        <v>2.068191549999999</v>
      </c>
      <c r="I432" s="26" t="n"/>
      <c r="J432" s="26" t="n"/>
      <c r="M432" t="inlineStr">
        <is>
          <t>no</t>
        </is>
      </c>
      <c r="N432" t="inlineStr"/>
      <c r="O432" s="24" t="inlineStr"/>
    </row>
    <row r="433">
      <c r="A433" t="inlineStr">
        <is>
          <t>R7.67</t>
        </is>
      </c>
      <c r="B433" t="inlineStr">
        <is>
          <t>sensitive</t>
        </is>
      </c>
      <c r="C433" s="24" t="inlineStr">
        <is>
          <t>hash_sgd_readpass</t>
        </is>
      </c>
      <c r="D433" s="24" t="inlineStr">
        <is>
          <t>8 holdouts / fixed 1,000-doc latency sample</t>
        </is>
      </c>
      <c r="E433" t="inlineStr">
        <is>
          <t>T1</t>
        </is>
      </c>
      <c r="F433" s="25" t="n">
        <v>1000</v>
      </c>
      <c r="G433" t="inlineStr">
        <is>
          <t>latency_p99_ms</t>
        </is>
      </c>
      <c r="H433" s="26" t="n">
        <v>2.46844294</v>
      </c>
      <c r="I433" s="26" t="n"/>
      <c r="J433" s="26" t="n"/>
      <c r="M433" t="inlineStr">
        <is>
          <t>no</t>
        </is>
      </c>
      <c r="N433" t="inlineStr"/>
      <c r="O433" s="24" t="inlineStr"/>
    </row>
    <row r="434">
      <c r="A434" t="inlineStr">
        <is>
          <t>R7.67</t>
        </is>
      </c>
      <c r="B434" t="inlineStr">
        <is>
          <t>sensitive</t>
        </is>
      </c>
      <c r="C434" s="24" t="inlineStr">
        <is>
          <t>hash_sgd_readpass</t>
        </is>
      </c>
      <c r="D434" s="24" t="inlineStr">
        <is>
          <t>8 holdouts / fixed 1,000-doc latency sample</t>
        </is>
      </c>
      <c r="E434" t="inlineStr">
        <is>
          <t>T1</t>
        </is>
      </c>
      <c r="F434" s="25" t="n">
        <v>1000</v>
      </c>
      <c r="G434" t="inlineStr">
        <is>
          <t>macro_f2</t>
        </is>
      </c>
      <c r="H434" s="26" t="n">
        <v>0.4244872565472262</v>
      </c>
      <c r="I434" s="26" t="n"/>
      <c r="J434" s="26" t="n"/>
      <c r="M434" t="inlineStr">
        <is>
          <t>yes</t>
        </is>
      </c>
      <c r="N434" t="inlineStr">
        <is>
          <t>yes</t>
        </is>
      </c>
      <c r="O434" s="24" t="inlineStr"/>
    </row>
    <row r="435">
      <c r="A435" t="inlineStr">
        <is>
          <t>R7.67</t>
        </is>
      </c>
      <c r="B435" t="inlineStr">
        <is>
          <t>sensitive</t>
        </is>
      </c>
      <c r="C435" s="24" t="inlineStr">
        <is>
          <t>hash_sgd_readpass</t>
        </is>
      </c>
      <c r="D435" s="24" t="inlineStr">
        <is>
          <t>8 holdouts / fixed 1,000-doc latency sample</t>
        </is>
      </c>
      <c r="E435" t="inlineStr">
        <is>
          <t>T1</t>
        </is>
      </c>
      <c r="F435" s="25" t="n">
        <v>1000</v>
      </c>
      <c r="G435" t="inlineStr">
        <is>
          <t>micro_f1</t>
        </is>
      </c>
      <c r="H435" s="26" t="n">
        <v>0.3470401073841728</v>
      </c>
      <c r="I435" s="26" t="n"/>
      <c r="J435" s="26" t="n"/>
      <c r="M435" t="inlineStr">
        <is>
          <t>yes</t>
        </is>
      </c>
      <c r="N435" t="inlineStr"/>
      <c r="O435" s="24" t="inlineStr"/>
    </row>
    <row r="436">
      <c r="A436" t="inlineStr">
        <is>
          <t>R7.67</t>
        </is>
      </c>
      <c r="B436" t="inlineStr">
        <is>
          <t>sensitive</t>
        </is>
      </c>
      <c r="C436" s="24" t="inlineStr">
        <is>
          <t>hash_sgd_readpass</t>
        </is>
      </c>
      <c r="D436" s="24" t="inlineStr">
        <is>
          <t>8 holdouts / fixed 1,000-doc latency sample</t>
        </is>
      </c>
      <c r="E436" t="inlineStr">
        <is>
          <t>T1</t>
        </is>
      </c>
      <c r="F436" s="25" t="n">
        <v>1000</v>
      </c>
      <c r="G436" t="inlineStr">
        <is>
          <t>peak_rss_mb</t>
        </is>
      </c>
      <c r="H436" s="26" t="n">
        <v>1000.8984375</v>
      </c>
      <c r="I436" s="26" t="n"/>
      <c r="J436" s="26" t="n"/>
      <c r="M436" t="inlineStr">
        <is>
          <t>no</t>
        </is>
      </c>
      <c r="N436" t="inlineStr"/>
      <c r="O436" s="24" t="inlineStr"/>
    </row>
    <row r="437">
      <c r="A437" t="inlineStr">
        <is>
          <t>R7.67</t>
        </is>
      </c>
      <c r="B437" t="inlineStr">
        <is>
          <t>sensitive</t>
        </is>
      </c>
      <c r="C437" s="24" t="inlineStr">
        <is>
          <t>hash_sgd_readpass</t>
        </is>
      </c>
      <c r="D437" s="24" t="inlineStr">
        <is>
          <t>8 holdouts / fixed 1,000-doc latency sample</t>
        </is>
      </c>
      <c r="E437" t="inlineStr">
        <is>
          <t>T1</t>
        </is>
      </c>
      <c r="F437" s="25" t="n">
        <v>1000</v>
      </c>
      <c r="G437" t="inlineStr">
        <is>
          <t>priority_point_passes</t>
        </is>
      </c>
      <c r="H437" s="26" t="n">
        <v>55</v>
      </c>
      <c r="I437" s="26" t="n"/>
      <c r="J437" s="26" t="n"/>
      <c r="M437" t="inlineStr">
        <is>
          <t>yes</t>
        </is>
      </c>
      <c r="N437" t="inlineStr"/>
      <c r="O437" s="24" t="inlineStr"/>
    </row>
    <row r="438">
      <c r="A438" t="inlineStr">
        <is>
          <t>R7.67</t>
        </is>
      </c>
      <c r="B438" t="inlineStr">
        <is>
          <t>sensitive</t>
        </is>
      </c>
      <c r="C438" s="24" t="inlineStr">
        <is>
          <t>hash_sgd_readpass</t>
        </is>
      </c>
      <c r="D438" s="24" t="inlineStr">
        <is>
          <t>8 holdouts / fixed 1,000-doc latency sample</t>
        </is>
      </c>
      <c r="E438" t="inlineStr">
        <is>
          <t>T1</t>
        </is>
      </c>
      <c r="F438" s="25" t="n">
        <v>1000</v>
      </c>
      <c r="G438" t="inlineStr">
        <is>
          <t>worst_priority_recall</t>
        </is>
      </c>
      <c r="H438" s="26" t="n">
        <v>0.9685746352413019</v>
      </c>
      <c r="I438" s="26" t="n"/>
      <c r="J438" s="26" t="n"/>
      <c r="M438" t="inlineStr">
        <is>
          <t>yes</t>
        </is>
      </c>
      <c r="N438" t="inlineStr"/>
      <c r="O438" s="24" t="inlineStr"/>
    </row>
    <row r="439">
      <c r="A439" t="inlineStr">
        <is>
          <t>R7.68</t>
        </is>
      </c>
      <c r="B439" t="inlineStr">
        <is>
          <t>sensitive</t>
        </is>
      </c>
      <c r="C439" s="24" t="inlineStr">
        <is>
          <t>hash_sgd_readpass</t>
        </is>
      </c>
      <c r="D439" s="24" t="inlineStr">
        <is>
          <t>8 holdouts / fixed 1,000-doc latency sample</t>
        </is>
      </c>
      <c r="E439" t="inlineStr">
        <is>
          <t>T1</t>
        </is>
      </c>
      <c r="F439" s="25" t="n">
        <v>1000</v>
      </c>
      <c r="G439" t="inlineStr">
        <is>
          <t>docs_per_s</t>
        </is>
      </c>
      <c r="H439" s="26" t="n">
        <v>716.097229539264</v>
      </c>
      <c r="I439" s="26" t="n"/>
      <c r="J439" s="26" t="n"/>
      <c r="M439" t="inlineStr">
        <is>
          <t>yes</t>
        </is>
      </c>
      <c r="N439" t="inlineStr"/>
      <c r="O439" s="24" t="inlineStr"/>
    </row>
    <row r="440">
      <c r="A440" t="inlineStr">
        <is>
          <t>R7.68</t>
        </is>
      </c>
      <c r="B440" t="inlineStr">
        <is>
          <t>sensitive</t>
        </is>
      </c>
      <c r="C440" s="24" t="inlineStr">
        <is>
          <t>hash_sgd_readpass</t>
        </is>
      </c>
      <c r="D440" s="24" t="inlineStr">
        <is>
          <t>8 holdouts / fixed 1,000-doc latency sample</t>
        </is>
      </c>
      <c r="E440" t="inlineStr">
        <is>
          <t>T1</t>
        </is>
      </c>
      <c r="F440" s="25" t="n">
        <v>1000</v>
      </c>
      <c r="G440" t="inlineStr">
        <is>
          <t>latency_p50_ms</t>
        </is>
      </c>
      <c r="H440" s="26" t="n">
        <v>0.412539</v>
      </c>
      <c r="I440" s="26" t="n"/>
      <c r="J440" s="26" t="n"/>
      <c r="M440" t="inlineStr">
        <is>
          <t>no</t>
        </is>
      </c>
      <c r="N440" t="inlineStr"/>
      <c r="O440" s="24" t="inlineStr"/>
    </row>
    <row r="441">
      <c r="A441" t="inlineStr">
        <is>
          <t>R7.68</t>
        </is>
      </c>
      <c r="B441" t="inlineStr">
        <is>
          <t>sensitive</t>
        </is>
      </c>
      <c r="C441" s="24" t="inlineStr">
        <is>
          <t>hash_sgd_readpass</t>
        </is>
      </c>
      <c r="D441" s="24" t="inlineStr">
        <is>
          <t>8 holdouts / fixed 1,000-doc latency sample</t>
        </is>
      </c>
      <c r="E441" t="inlineStr">
        <is>
          <t>T1</t>
        </is>
      </c>
      <c r="F441" s="25" t="n">
        <v>1000</v>
      </c>
      <c r="G441" t="inlineStr">
        <is>
          <t>latency_p95_ms</t>
        </is>
      </c>
      <c r="H441" s="26" t="n">
        <v>4.88856525</v>
      </c>
      <c r="I441" s="26" t="n"/>
      <c r="J441" s="26" t="n"/>
      <c r="M441" t="inlineStr">
        <is>
          <t>no</t>
        </is>
      </c>
      <c r="N441" t="inlineStr"/>
      <c r="O441" s="24" t="inlineStr"/>
    </row>
    <row r="442">
      <c r="A442" t="inlineStr">
        <is>
          <t>R7.68</t>
        </is>
      </c>
      <c r="B442" t="inlineStr">
        <is>
          <t>sensitive</t>
        </is>
      </c>
      <c r="C442" s="24" t="inlineStr">
        <is>
          <t>hash_sgd_readpass</t>
        </is>
      </c>
      <c r="D442" s="24" t="inlineStr">
        <is>
          <t>8 holdouts / fixed 1,000-doc latency sample</t>
        </is>
      </c>
      <c r="E442" t="inlineStr">
        <is>
          <t>T1</t>
        </is>
      </c>
      <c r="F442" s="25" t="n">
        <v>1000</v>
      </c>
      <c r="G442" t="inlineStr">
        <is>
          <t>latency_p99_ms</t>
        </is>
      </c>
      <c r="H442" s="26" t="n">
        <v>6.276754639999998</v>
      </c>
      <c r="I442" s="26" t="n"/>
      <c r="J442" s="26" t="n"/>
      <c r="M442" t="inlineStr">
        <is>
          <t>no</t>
        </is>
      </c>
      <c r="N442" t="inlineStr"/>
      <c r="O442" s="24" t="inlineStr"/>
    </row>
    <row r="443">
      <c r="A443" t="inlineStr">
        <is>
          <t>R7.68</t>
        </is>
      </c>
      <c r="B443" t="inlineStr">
        <is>
          <t>sensitive</t>
        </is>
      </c>
      <c r="C443" s="24" t="inlineStr">
        <is>
          <t>hash_sgd_readpass</t>
        </is>
      </c>
      <c r="D443" s="24" t="inlineStr">
        <is>
          <t>8 holdouts / fixed 1,000-doc latency sample</t>
        </is>
      </c>
      <c r="E443" t="inlineStr">
        <is>
          <t>T1</t>
        </is>
      </c>
      <c r="F443" s="25" t="n">
        <v>1000</v>
      </c>
      <c r="G443" t="inlineStr">
        <is>
          <t>macro_f2</t>
        </is>
      </c>
      <c r="H443" s="26" t="n">
        <v>0.423460542503527</v>
      </c>
      <c r="I443" s="26" t="n"/>
      <c r="J443" s="26" t="n"/>
      <c r="M443" t="inlineStr">
        <is>
          <t>yes</t>
        </is>
      </c>
      <c r="N443" t="inlineStr">
        <is>
          <t>yes</t>
        </is>
      </c>
      <c r="O443" s="24" t="inlineStr"/>
    </row>
    <row r="444">
      <c r="A444" t="inlineStr">
        <is>
          <t>R7.68</t>
        </is>
      </c>
      <c r="B444" t="inlineStr">
        <is>
          <t>sensitive</t>
        </is>
      </c>
      <c r="C444" s="24" t="inlineStr">
        <is>
          <t>hash_sgd_readpass</t>
        </is>
      </c>
      <c r="D444" s="24" t="inlineStr">
        <is>
          <t>8 holdouts / fixed 1,000-doc latency sample</t>
        </is>
      </c>
      <c r="E444" t="inlineStr">
        <is>
          <t>T1</t>
        </is>
      </c>
      <c r="F444" s="25" t="n">
        <v>1000</v>
      </c>
      <c r="G444" t="inlineStr">
        <is>
          <t>micro_f1</t>
        </is>
      </c>
      <c r="H444" s="26" t="n">
        <v>0.3452538287367654</v>
      </c>
      <c r="I444" s="26" t="n"/>
      <c r="J444" s="26" t="n"/>
      <c r="M444" t="inlineStr">
        <is>
          <t>yes</t>
        </is>
      </c>
      <c r="N444" t="inlineStr"/>
      <c r="O444" s="24" t="inlineStr"/>
    </row>
    <row r="445">
      <c r="A445" t="inlineStr">
        <is>
          <t>R7.68</t>
        </is>
      </c>
      <c r="B445" t="inlineStr">
        <is>
          <t>sensitive</t>
        </is>
      </c>
      <c r="C445" s="24" t="inlineStr">
        <is>
          <t>hash_sgd_readpass</t>
        </is>
      </c>
      <c r="D445" s="24" t="inlineStr">
        <is>
          <t>8 holdouts / fixed 1,000-doc latency sample</t>
        </is>
      </c>
      <c r="E445" t="inlineStr">
        <is>
          <t>T1</t>
        </is>
      </c>
      <c r="F445" s="25" t="n">
        <v>1000</v>
      </c>
      <c r="G445" t="inlineStr">
        <is>
          <t>peak_rss_mb</t>
        </is>
      </c>
      <c r="H445" s="26" t="n">
        <v>1000.8984375</v>
      </c>
      <c r="I445" s="26" t="n"/>
      <c r="J445" s="26" t="n"/>
      <c r="M445" t="inlineStr">
        <is>
          <t>no</t>
        </is>
      </c>
      <c r="N445" t="inlineStr"/>
      <c r="O445" s="24" t="inlineStr"/>
    </row>
    <row r="446">
      <c r="A446" t="inlineStr">
        <is>
          <t>R7.68</t>
        </is>
      </c>
      <c r="B446" t="inlineStr">
        <is>
          <t>sensitive</t>
        </is>
      </c>
      <c r="C446" s="24" t="inlineStr">
        <is>
          <t>hash_sgd_readpass</t>
        </is>
      </c>
      <c r="D446" s="24" t="inlineStr">
        <is>
          <t>8 holdouts / fixed 1,000-doc latency sample</t>
        </is>
      </c>
      <c r="E446" t="inlineStr">
        <is>
          <t>T1</t>
        </is>
      </c>
      <c r="F446" s="25" t="n">
        <v>1000</v>
      </c>
      <c r="G446" t="inlineStr">
        <is>
          <t>priority_point_passes</t>
        </is>
      </c>
      <c r="H446" s="26" t="n">
        <v>55</v>
      </c>
      <c r="I446" s="26" t="n"/>
      <c r="J446" s="26" t="n"/>
      <c r="M446" t="inlineStr">
        <is>
          <t>yes</t>
        </is>
      </c>
      <c r="N446" t="inlineStr"/>
      <c r="O446" s="24" t="inlineStr"/>
    </row>
    <row r="447">
      <c r="A447" t="inlineStr">
        <is>
          <t>R7.68</t>
        </is>
      </c>
      <c r="B447" t="inlineStr">
        <is>
          <t>sensitive</t>
        </is>
      </c>
      <c r="C447" s="24" t="inlineStr">
        <is>
          <t>hash_sgd_readpass</t>
        </is>
      </c>
      <c r="D447" s="24" t="inlineStr">
        <is>
          <t>8 holdouts / fixed 1,000-doc latency sample</t>
        </is>
      </c>
      <c r="E447" t="inlineStr">
        <is>
          <t>T1</t>
        </is>
      </c>
      <c r="F447" s="25" t="n">
        <v>1000</v>
      </c>
      <c r="G447" t="inlineStr">
        <is>
          <t>worst_priority_recall</t>
        </is>
      </c>
      <c r="H447" s="26" t="n">
        <v>0.9966329966329966</v>
      </c>
      <c r="I447" s="26" t="n"/>
      <c r="J447" s="26" t="n"/>
      <c r="M447" t="inlineStr">
        <is>
          <t>yes</t>
        </is>
      </c>
      <c r="N447" t="inlineStr"/>
      <c r="O447" s="24" t="inlineStr"/>
    </row>
    <row r="448">
      <c r="A448" t="inlineStr">
        <is>
          <t>R7.69</t>
        </is>
      </c>
      <c r="B448" t="inlineStr">
        <is>
          <t>sensitive</t>
        </is>
      </c>
      <c r="C448" s="24" t="inlineStr">
        <is>
          <t>hash_sgd_readpass</t>
        </is>
      </c>
      <c r="D448" s="24" t="inlineStr">
        <is>
          <t>8 holdouts / fixed 1,000-doc latency sample</t>
        </is>
      </c>
      <c r="E448" t="inlineStr">
        <is>
          <t>T2</t>
        </is>
      </c>
      <c r="F448" s="25" t="n">
        <v>1000</v>
      </c>
      <c r="G448" t="inlineStr">
        <is>
          <t>docs_per_s</t>
        </is>
      </c>
      <c r="H448" s="26" t="n">
        <v>563.8171151204854</v>
      </c>
      <c r="I448" s="26" t="n"/>
      <c r="J448" s="26" t="n"/>
      <c r="M448" t="inlineStr">
        <is>
          <t>yes</t>
        </is>
      </c>
      <c r="N448" t="inlineStr"/>
      <c r="O448" s="24" t="inlineStr"/>
    </row>
    <row r="449">
      <c r="A449" t="inlineStr">
        <is>
          <t>R7.69</t>
        </is>
      </c>
      <c r="B449" t="inlineStr">
        <is>
          <t>sensitive</t>
        </is>
      </c>
      <c r="C449" s="24" t="inlineStr">
        <is>
          <t>hash_sgd_readpass</t>
        </is>
      </c>
      <c r="D449" s="24" t="inlineStr">
        <is>
          <t>8 holdouts / fixed 1,000-doc latency sample</t>
        </is>
      </c>
      <c r="E449" t="inlineStr">
        <is>
          <t>T2</t>
        </is>
      </c>
      <c r="F449" s="25" t="n">
        <v>1000</v>
      </c>
      <c r="G449" t="inlineStr">
        <is>
          <t>latency_p50_ms</t>
        </is>
      </c>
      <c r="H449" s="26" t="n">
        <v>0.4475345</v>
      </c>
      <c r="I449" s="26" t="n"/>
      <c r="J449" s="26" t="n"/>
      <c r="M449" t="inlineStr">
        <is>
          <t>no</t>
        </is>
      </c>
      <c r="N449" t="inlineStr"/>
      <c r="O449" s="24" t="inlineStr"/>
    </row>
    <row r="450">
      <c r="A450" t="inlineStr">
        <is>
          <t>R7.69</t>
        </is>
      </c>
      <c r="B450" t="inlineStr">
        <is>
          <t>sensitive</t>
        </is>
      </c>
      <c r="C450" s="24" t="inlineStr">
        <is>
          <t>hash_sgd_readpass</t>
        </is>
      </c>
      <c r="D450" s="24" t="inlineStr">
        <is>
          <t>8 holdouts / fixed 1,000-doc latency sample</t>
        </is>
      </c>
      <c r="E450" t="inlineStr">
        <is>
          <t>T2</t>
        </is>
      </c>
      <c r="F450" s="25" t="n">
        <v>1000</v>
      </c>
      <c r="G450" t="inlineStr">
        <is>
          <t>latency_p95_ms</t>
        </is>
      </c>
      <c r="H450" s="26" t="n">
        <v>6.8412696</v>
      </c>
      <c r="I450" s="26" t="n"/>
      <c r="J450" s="26" t="n"/>
      <c r="M450" t="inlineStr">
        <is>
          <t>no</t>
        </is>
      </c>
      <c r="N450" t="inlineStr"/>
      <c r="O450" s="24" t="inlineStr"/>
    </row>
    <row r="451">
      <c r="A451" t="inlineStr">
        <is>
          <t>R7.69</t>
        </is>
      </c>
      <c r="B451" t="inlineStr">
        <is>
          <t>sensitive</t>
        </is>
      </c>
      <c r="C451" s="24" t="inlineStr">
        <is>
          <t>hash_sgd_readpass</t>
        </is>
      </c>
      <c r="D451" s="24" t="inlineStr">
        <is>
          <t>8 holdouts / fixed 1,000-doc latency sample</t>
        </is>
      </c>
      <c r="E451" t="inlineStr">
        <is>
          <t>T2</t>
        </is>
      </c>
      <c r="F451" s="25" t="n">
        <v>1000</v>
      </c>
      <c r="G451" t="inlineStr">
        <is>
          <t>latency_p99_ms</t>
        </is>
      </c>
      <c r="H451" s="26" t="n">
        <v>9.815518989999999</v>
      </c>
      <c r="I451" s="26" t="n"/>
      <c r="J451" s="26" t="n"/>
      <c r="M451" t="inlineStr">
        <is>
          <t>no</t>
        </is>
      </c>
      <c r="N451" t="inlineStr"/>
      <c r="O451" s="24" t="inlineStr"/>
    </row>
    <row r="452">
      <c r="A452" t="inlineStr">
        <is>
          <t>R7.69</t>
        </is>
      </c>
      <c r="B452" t="inlineStr">
        <is>
          <t>sensitive</t>
        </is>
      </c>
      <c r="C452" s="24" t="inlineStr">
        <is>
          <t>hash_sgd_readpass</t>
        </is>
      </c>
      <c r="D452" s="24" t="inlineStr">
        <is>
          <t>8 holdouts / fixed 1,000-doc latency sample</t>
        </is>
      </c>
      <c r="E452" t="inlineStr">
        <is>
          <t>T2</t>
        </is>
      </c>
      <c r="F452" s="25" t="n">
        <v>1000</v>
      </c>
      <c r="G452" t="inlineStr">
        <is>
          <t>macro_f2</t>
        </is>
      </c>
      <c r="H452" s="26" t="n">
        <v>0.4233696931291113</v>
      </c>
      <c r="I452" s="26" t="n"/>
      <c r="J452" s="26" t="n"/>
      <c r="M452" t="inlineStr">
        <is>
          <t>yes</t>
        </is>
      </c>
      <c r="N452" t="inlineStr">
        <is>
          <t>yes</t>
        </is>
      </c>
      <c r="O452" s="24" t="inlineStr"/>
    </row>
    <row r="453">
      <c r="A453" t="inlineStr">
        <is>
          <t>R7.69</t>
        </is>
      </c>
      <c r="B453" t="inlineStr">
        <is>
          <t>sensitive</t>
        </is>
      </c>
      <c r="C453" s="24" t="inlineStr">
        <is>
          <t>hash_sgd_readpass</t>
        </is>
      </c>
      <c r="D453" s="24" t="inlineStr">
        <is>
          <t>8 holdouts / fixed 1,000-doc latency sample</t>
        </is>
      </c>
      <c r="E453" t="inlineStr">
        <is>
          <t>T2</t>
        </is>
      </c>
      <c r="F453" s="25" t="n">
        <v>1000</v>
      </c>
      <c r="G453" t="inlineStr">
        <is>
          <t>micro_f1</t>
        </is>
      </c>
      <c r="H453" s="26" t="n">
        <v>0.3452229888446529</v>
      </c>
      <c r="I453" s="26" t="n"/>
      <c r="J453" s="26" t="n"/>
      <c r="M453" t="inlineStr">
        <is>
          <t>yes</t>
        </is>
      </c>
      <c r="N453" t="inlineStr"/>
      <c r="O453" s="24" t="inlineStr"/>
    </row>
    <row r="454">
      <c r="A454" t="inlineStr">
        <is>
          <t>R7.69</t>
        </is>
      </c>
      <c r="B454" t="inlineStr">
        <is>
          <t>sensitive</t>
        </is>
      </c>
      <c r="C454" s="24" t="inlineStr">
        <is>
          <t>hash_sgd_readpass</t>
        </is>
      </c>
      <c r="D454" s="24" t="inlineStr">
        <is>
          <t>8 holdouts / fixed 1,000-doc latency sample</t>
        </is>
      </c>
      <c r="E454" t="inlineStr">
        <is>
          <t>T2</t>
        </is>
      </c>
      <c r="F454" s="25" t="n">
        <v>1000</v>
      </c>
      <c r="G454" t="inlineStr">
        <is>
          <t>peak_rss_mb</t>
        </is>
      </c>
      <c r="H454" s="26" t="n">
        <v>1000.8984375</v>
      </c>
      <c r="I454" s="26" t="n"/>
      <c r="J454" s="26" t="n"/>
      <c r="M454" t="inlineStr">
        <is>
          <t>no</t>
        </is>
      </c>
      <c r="N454" t="inlineStr"/>
      <c r="O454" s="24" t="inlineStr"/>
    </row>
    <row r="455">
      <c r="A455" t="inlineStr">
        <is>
          <t>R7.69</t>
        </is>
      </c>
      <c r="B455" t="inlineStr">
        <is>
          <t>sensitive</t>
        </is>
      </c>
      <c r="C455" s="24" t="inlineStr">
        <is>
          <t>hash_sgd_readpass</t>
        </is>
      </c>
      <c r="D455" s="24" t="inlineStr">
        <is>
          <t>8 holdouts / fixed 1,000-doc latency sample</t>
        </is>
      </c>
      <c r="E455" t="inlineStr">
        <is>
          <t>T2</t>
        </is>
      </c>
      <c r="F455" s="25" t="n">
        <v>1000</v>
      </c>
      <c r="G455" t="inlineStr">
        <is>
          <t>priority_point_passes</t>
        </is>
      </c>
      <c r="H455" s="26" t="n">
        <v>55</v>
      </c>
      <c r="I455" s="26" t="n"/>
      <c r="J455" s="26" t="n"/>
      <c r="M455" t="inlineStr">
        <is>
          <t>yes</t>
        </is>
      </c>
      <c r="N455" t="inlineStr"/>
      <c r="O455" s="24" t="inlineStr"/>
    </row>
    <row r="456">
      <c r="A456" t="inlineStr">
        <is>
          <t>R7.69</t>
        </is>
      </c>
      <c r="B456" t="inlineStr">
        <is>
          <t>sensitive</t>
        </is>
      </c>
      <c r="C456" s="24" t="inlineStr">
        <is>
          <t>hash_sgd_readpass</t>
        </is>
      </c>
      <c r="D456" s="24" t="inlineStr">
        <is>
          <t>8 holdouts / fixed 1,000-doc latency sample</t>
        </is>
      </c>
      <c r="E456" t="inlineStr">
        <is>
          <t>T2</t>
        </is>
      </c>
      <c r="F456" s="25" t="n">
        <v>1000</v>
      </c>
      <c r="G456" t="inlineStr">
        <is>
          <t>worst_priority_recall</t>
        </is>
      </c>
      <c r="H456" s="26" t="n">
        <v>0.9966329966329966</v>
      </c>
      <c r="I456" s="26" t="n"/>
      <c r="J456" s="26" t="n"/>
      <c r="M456" t="inlineStr">
        <is>
          <t>yes</t>
        </is>
      </c>
      <c r="N456" t="inlineStr"/>
      <c r="O456" s="24" t="inlineStr"/>
    </row>
    <row r="457">
      <c r="A457" t="inlineStr">
        <is>
          <t>R7.70</t>
        </is>
      </c>
      <c r="B457" t="inlineStr">
        <is>
          <t>sensitive</t>
        </is>
      </c>
      <c r="C457" s="24" t="inlineStr">
        <is>
          <t>hybrid_priority_001_readpass</t>
        </is>
      </c>
      <c r="D457" s="24" t="inlineStr">
        <is>
          <t>8 holdouts / fixed 1,000-doc latency sample</t>
        </is>
      </c>
      <c r="E457" t="inlineStr">
        <is>
          <t>T1</t>
        </is>
      </c>
      <c r="F457" s="25" t="n">
        <v>1000</v>
      </c>
      <c r="G457" t="inlineStr">
        <is>
          <t>docs_per_s</t>
        </is>
      </c>
      <c r="H457" s="26" t="n">
        <v>1392.945488584078</v>
      </c>
      <c r="I457" s="26" t="n"/>
      <c r="J457" s="26" t="n"/>
      <c r="M457" t="inlineStr">
        <is>
          <t>yes</t>
        </is>
      </c>
      <c r="N457" t="inlineStr"/>
      <c r="O457" s="24" t="inlineStr"/>
    </row>
    <row r="458">
      <c r="A458" t="inlineStr">
        <is>
          <t>R7.70</t>
        </is>
      </c>
      <c r="B458" t="inlineStr">
        <is>
          <t>sensitive</t>
        </is>
      </c>
      <c r="C458" s="24" t="inlineStr">
        <is>
          <t>hybrid_priority_001_readpass</t>
        </is>
      </c>
      <c r="D458" s="24" t="inlineStr">
        <is>
          <t>8 holdouts / fixed 1,000-doc latency sample</t>
        </is>
      </c>
      <c r="E458" t="inlineStr">
        <is>
          <t>T1</t>
        </is>
      </c>
      <c r="F458" s="25" t="n">
        <v>1000</v>
      </c>
      <c r="G458" t="inlineStr">
        <is>
          <t>latency_p50_ms</t>
        </is>
      </c>
      <c r="H458" s="26" t="n">
        <v>0.566117</v>
      </c>
      <c r="I458" s="26" t="n"/>
      <c r="J458" s="26" t="n"/>
      <c r="M458" t="inlineStr">
        <is>
          <t>no</t>
        </is>
      </c>
      <c r="N458" t="inlineStr"/>
      <c r="O458" s="24" t="inlineStr"/>
    </row>
    <row r="459">
      <c r="A459" t="inlineStr">
        <is>
          <t>R7.70</t>
        </is>
      </c>
      <c r="B459" t="inlineStr">
        <is>
          <t>sensitive</t>
        </is>
      </c>
      <c r="C459" s="24" t="inlineStr">
        <is>
          <t>hybrid_priority_001_readpass</t>
        </is>
      </c>
      <c r="D459" s="24" t="inlineStr">
        <is>
          <t>8 holdouts / fixed 1,000-doc latency sample</t>
        </is>
      </c>
      <c r="E459" t="inlineStr">
        <is>
          <t>T1</t>
        </is>
      </c>
      <c r="F459" s="25" t="n">
        <v>1000</v>
      </c>
      <c r="G459" t="inlineStr">
        <is>
          <t>latency_p95_ms</t>
        </is>
      </c>
      <c r="H459" s="26" t="n">
        <v>1.48368795</v>
      </c>
      <c r="I459" s="26" t="n"/>
      <c r="J459" s="26" t="n"/>
      <c r="M459" t="inlineStr">
        <is>
          <t>no</t>
        </is>
      </c>
      <c r="N459" t="inlineStr"/>
      <c r="O459" s="24" t="inlineStr"/>
    </row>
    <row r="460">
      <c r="A460" t="inlineStr">
        <is>
          <t>R7.70</t>
        </is>
      </c>
      <c r="B460" t="inlineStr">
        <is>
          <t>sensitive</t>
        </is>
      </c>
      <c r="C460" s="24" t="inlineStr">
        <is>
          <t>hybrid_priority_001_readpass</t>
        </is>
      </c>
      <c r="D460" s="24" t="inlineStr">
        <is>
          <t>8 holdouts / fixed 1,000-doc latency sample</t>
        </is>
      </c>
      <c r="E460" t="inlineStr">
        <is>
          <t>T1</t>
        </is>
      </c>
      <c r="F460" s="25" t="n">
        <v>1000</v>
      </c>
      <c r="G460" t="inlineStr">
        <is>
          <t>latency_p99_ms</t>
        </is>
      </c>
      <c r="H460" s="26" t="n">
        <v>1.61781811</v>
      </c>
      <c r="I460" s="26" t="n"/>
      <c r="J460" s="26" t="n"/>
      <c r="M460" t="inlineStr">
        <is>
          <t>no</t>
        </is>
      </c>
      <c r="N460" t="inlineStr"/>
      <c r="O460" s="24" t="inlineStr"/>
    </row>
    <row r="461">
      <c r="A461" t="inlineStr">
        <is>
          <t>R7.70</t>
        </is>
      </c>
      <c r="B461" t="inlineStr">
        <is>
          <t>sensitive</t>
        </is>
      </c>
      <c r="C461" s="24" t="inlineStr">
        <is>
          <t>hybrid_priority_001_readpass</t>
        </is>
      </c>
      <c r="D461" s="24" t="inlineStr">
        <is>
          <t>8 holdouts / fixed 1,000-doc latency sample</t>
        </is>
      </c>
      <c r="E461" t="inlineStr">
        <is>
          <t>T1</t>
        </is>
      </c>
      <c r="F461" s="25" t="n">
        <v>1000</v>
      </c>
      <c r="G461" t="inlineStr">
        <is>
          <t>macro_f2</t>
        </is>
      </c>
      <c r="H461" s="26" t="n">
        <v>0.4522742161464675</v>
      </c>
      <c r="I461" s="26" t="n"/>
      <c r="J461" s="26" t="n"/>
      <c r="M461" t="inlineStr">
        <is>
          <t>yes</t>
        </is>
      </c>
      <c r="N461" t="inlineStr">
        <is>
          <t>yes</t>
        </is>
      </c>
      <c r="O461" s="24" t="inlineStr"/>
    </row>
    <row r="462">
      <c r="A462" t="inlineStr">
        <is>
          <t>R7.70</t>
        </is>
      </c>
      <c r="B462" t="inlineStr">
        <is>
          <t>sensitive</t>
        </is>
      </c>
      <c r="C462" s="24" t="inlineStr">
        <is>
          <t>hybrid_priority_001_readpass</t>
        </is>
      </c>
      <c r="D462" s="24" t="inlineStr">
        <is>
          <t>8 holdouts / fixed 1,000-doc latency sample</t>
        </is>
      </c>
      <c r="E462" t="inlineStr">
        <is>
          <t>T1</t>
        </is>
      </c>
      <c r="F462" s="25" t="n">
        <v>1000</v>
      </c>
      <c r="G462" t="inlineStr">
        <is>
          <t>micro_f1</t>
        </is>
      </c>
      <c r="H462" s="26" t="n">
        <v>0.3683095118870541</v>
      </c>
      <c r="I462" s="26" t="n"/>
      <c r="J462" s="26" t="n"/>
      <c r="M462" t="inlineStr">
        <is>
          <t>yes</t>
        </is>
      </c>
      <c r="N462" t="inlineStr"/>
      <c r="O462" s="24" t="inlineStr"/>
    </row>
    <row r="463">
      <c r="A463" t="inlineStr">
        <is>
          <t>R7.70</t>
        </is>
      </c>
      <c r="B463" t="inlineStr">
        <is>
          <t>sensitive</t>
        </is>
      </c>
      <c r="C463" s="24" t="inlineStr">
        <is>
          <t>hybrid_priority_001_readpass</t>
        </is>
      </c>
      <c r="D463" s="24" t="inlineStr">
        <is>
          <t>8 holdouts / fixed 1,000-doc latency sample</t>
        </is>
      </c>
      <c r="E463" t="inlineStr">
        <is>
          <t>T1</t>
        </is>
      </c>
      <c r="F463" s="25" t="n">
        <v>1000</v>
      </c>
      <c r="G463" t="inlineStr">
        <is>
          <t>peak_rss_mb</t>
        </is>
      </c>
      <c r="H463" s="26" t="n">
        <v>1000.8984375</v>
      </c>
      <c r="I463" s="26" t="n"/>
      <c r="J463" s="26" t="n"/>
      <c r="M463" t="inlineStr">
        <is>
          <t>no</t>
        </is>
      </c>
      <c r="N463" t="inlineStr"/>
      <c r="O463" s="24" t="inlineStr"/>
    </row>
    <row r="464">
      <c r="A464" t="inlineStr">
        <is>
          <t>R7.70</t>
        </is>
      </c>
      <c r="B464" t="inlineStr">
        <is>
          <t>sensitive</t>
        </is>
      </c>
      <c r="C464" s="24" t="inlineStr">
        <is>
          <t>hybrid_priority_001_readpass</t>
        </is>
      </c>
      <c r="D464" s="24" t="inlineStr">
        <is>
          <t>8 holdouts / fixed 1,000-doc latency sample</t>
        </is>
      </c>
      <c r="E464" t="inlineStr">
        <is>
          <t>T1</t>
        </is>
      </c>
      <c r="F464" s="25" t="n">
        <v>1000</v>
      </c>
      <c r="G464" t="inlineStr">
        <is>
          <t>priority_point_passes</t>
        </is>
      </c>
      <c r="H464" s="26" t="n">
        <v>55</v>
      </c>
      <c r="I464" s="26" t="n"/>
      <c r="J464" s="26" t="n"/>
      <c r="M464" t="inlineStr">
        <is>
          <t>yes</t>
        </is>
      </c>
      <c r="N464" t="inlineStr"/>
      <c r="O464" s="24" t="inlineStr"/>
    </row>
    <row r="465">
      <c r="A465" t="inlineStr">
        <is>
          <t>R7.70</t>
        </is>
      </c>
      <c r="B465" t="inlineStr">
        <is>
          <t>sensitive</t>
        </is>
      </c>
      <c r="C465" s="24" t="inlineStr">
        <is>
          <t>hybrid_priority_001_readpass</t>
        </is>
      </c>
      <c r="D465" s="24" t="inlineStr">
        <is>
          <t>8 holdouts / fixed 1,000-doc latency sample</t>
        </is>
      </c>
      <c r="E465" t="inlineStr">
        <is>
          <t>T1</t>
        </is>
      </c>
      <c r="F465" s="25" t="n">
        <v>1000</v>
      </c>
      <c r="G465" t="inlineStr">
        <is>
          <t>worst_priority_recall</t>
        </is>
      </c>
      <c r="H465" s="26" t="n">
        <v>0.9887766554433222</v>
      </c>
      <c r="I465" s="26" t="n"/>
      <c r="J465" s="26" t="n"/>
      <c r="M465" t="inlineStr">
        <is>
          <t>yes</t>
        </is>
      </c>
      <c r="N465" t="inlineStr"/>
      <c r="O465" s="24" t="inlineStr"/>
    </row>
    <row r="466">
      <c r="A466" t="inlineStr">
        <is>
          <t>R7.71</t>
        </is>
      </c>
      <c r="B466" t="inlineStr">
        <is>
          <t>sensitive</t>
        </is>
      </c>
      <c r="C466" s="24" t="inlineStr">
        <is>
          <t>hybrid_priority_001_readpass</t>
        </is>
      </c>
      <c r="D466" s="24" t="inlineStr">
        <is>
          <t>8 holdouts / fixed 1,000-doc latency sample</t>
        </is>
      </c>
      <c r="E466" t="inlineStr">
        <is>
          <t>T1</t>
        </is>
      </c>
      <c r="F466" s="25" t="n">
        <v>1000</v>
      </c>
      <c r="G466" t="inlineStr">
        <is>
          <t>docs_per_s</t>
        </is>
      </c>
      <c r="H466" s="26" t="n">
        <v>850.1969226962547</v>
      </c>
      <c r="I466" s="26" t="n"/>
      <c r="J466" s="26" t="n"/>
      <c r="M466" t="inlineStr">
        <is>
          <t>yes</t>
        </is>
      </c>
      <c r="N466" t="inlineStr"/>
      <c r="O466" s="24" t="inlineStr"/>
    </row>
    <row r="467">
      <c r="A467" t="inlineStr">
        <is>
          <t>R7.71</t>
        </is>
      </c>
      <c r="B467" t="inlineStr">
        <is>
          <t>sensitive</t>
        </is>
      </c>
      <c r="C467" s="24" t="inlineStr">
        <is>
          <t>hybrid_priority_001_readpass</t>
        </is>
      </c>
      <c r="D467" s="24" t="inlineStr">
        <is>
          <t>8 holdouts / fixed 1,000-doc latency sample</t>
        </is>
      </c>
      <c r="E467" t="inlineStr">
        <is>
          <t>T1</t>
        </is>
      </c>
      <c r="F467" s="25" t="n">
        <v>1000</v>
      </c>
      <c r="G467" t="inlineStr">
        <is>
          <t>latency_p50_ms</t>
        </is>
      </c>
      <c r="H467" s="26" t="n">
        <v>0.6533679999999999</v>
      </c>
      <c r="I467" s="26" t="n"/>
      <c r="J467" s="26" t="n"/>
      <c r="M467" t="inlineStr">
        <is>
          <t>no</t>
        </is>
      </c>
      <c r="N467" t="inlineStr"/>
      <c r="O467" s="24" t="inlineStr"/>
    </row>
    <row r="468">
      <c r="A468" t="inlineStr">
        <is>
          <t>R7.71</t>
        </is>
      </c>
      <c r="B468" t="inlineStr">
        <is>
          <t>sensitive</t>
        </is>
      </c>
      <c r="C468" s="24" t="inlineStr">
        <is>
          <t>hybrid_priority_001_readpass</t>
        </is>
      </c>
      <c r="D468" s="24" t="inlineStr">
        <is>
          <t>8 holdouts / fixed 1,000-doc latency sample</t>
        </is>
      </c>
      <c r="E468" t="inlineStr">
        <is>
          <t>T1</t>
        </is>
      </c>
      <c r="F468" s="25" t="n">
        <v>1000</v>
      </c>
      <c r="G468" t="inlineStr">
        <is>
          <t>latency_p95_ms</t>
        </is>
      </c>
      <c r="H468" s="26" t="n">
        <v>2.926981849999999</v>
      </c>
      <c r="I468" s="26" t="n"/>
      <c r="J468" s="26" t="n"/>
      <c r="M468" t="inlineStr">
        <is>
          <t>no</t>
        </is>
      </c>
      <c r="N468" t="inlineStr"/>
      <c r="O468" s="24" t="inlineStr"/>
    </row>
    <row r="469">
      <c r="A469" t="inlineStr">
        <is>
          <t>R7.71</t>
        </is>
      </c>
      <c r="B469" t="inlineStr">
        <is>
          <t>sensitive</t>
        </is>
      </c>
      <c r="C469" s="24" t="inlineStr">
        <is>
          <t>hybrid_priority_001_readpass</t>
        </is>
      </c>
      <c r="D469" s="24" t="inlineStr">
        <is>
          <t>8 holdouts / fixed 1,000-doc latency sample</t>
        </is>
      </c>
      <c r="E469" t="inlineStr">
        <is>
          <t>T1</t>
        </is>
      </c>
      <c r="F469" s="25" t="n">
        <v>1000</v>
      </c>
      <c r="G469" t="inlineStr">
        <is>
          <t>latency_p99_ms</t>
        </is>
      </c>
      <c r="H469" s="26" t="n">
        <v>3.2848965</v>
      </c>
      <c r="I469" s="26" t="n"/>
      <c r="J469" s="26" t="n"/>
      <c r="M469" t="inlineStr">
        <is>
          <t>no</t>
        </is>
      </c>
      <c r="N469" t="inlineStr"/>
      <c r="O469" s="24" t="inlineStr"/>
    </row>
    <row r="470">
      <c r="A470" t="inlineStr">
        <is>
          <t>R7.71</t>
        </is>
      </c>
      <c r="B470" t="inlineStr">
        <is>
          <t>sensitive</t>
        </is>
      </c>
      <c r="C470" s="24" t="inlineStr">
        <is>
          <t>hybrid_priority_001_readpass</t>
        </is>
      </c>
      <c r="D470" s="24" t="inlineStr">
        <is>
          <t>8 holdouts / fixed 1,000-doc latency sample</t>
        </is>
      </c>
      <c r="E470" t="inlineStr">
        <is>
          <t>T1</t>
        </is>
      </c>
      <c r="F470" s="25" t="n">
        <v>1000</v>
      </c>
      <c r="G470" t="inlineStr">
        <is>
          <t>macro_f2</t>
        </is>
      </c>
      <c r="H470" s="26" t="n">
        <v>0.4470192036586162</v>
      </c>
      <c r="I470" s="26" t="n"/>
      <c r="J470" s="26" t="n"/>
      <c r="M470" t="inlineStr">
        <is>
          <t>yes</t>
        </is>
      </c>
      <c r="N470" t="inlineStr">
        <is>
          <t>yes</t>
        </is>
      </c>
      <c r="O470" s="24" t="inlineStr"/>
    </row>
    <row r="471">
      <c r="A471" t="inlineStr">
        <is>
          <t>R7.71</t>
        </is>
      </c>
      <c r="B471" t="inlineStr">
        <is>
          <t>sensitive</t>
        </is>
      </c>
      <c r="C471" s="24" t="inlineStr">
        <is>
          <t>hybrid_priority_001_readpass</t>
        </is>
      </c>
      <c r="D471" s="24" t="inlineStr">
        <is>
          <t>8 holdouts / fixed 1,000-doc latency sample</t>
        </is>
      </c>
      <c r="E471" t="inlineStr">
        <is>
          <t>T1</t>
        </is>
      </c>
      <c r="F471" s="25" t="n">
        <v>1000</v>
      </c>
      <c r="G471" t="inlineStr">
        <is>
          <t>micro_f1</t>
        </is>
      </c>
      <c r="H471" s="26" t="n">
        <v>0.3646818655480555</v>
      </c>
      <c r="I471" s="26" t="n"/>
      <c r="J471" s="26" t="n"/>
      <c r="M471" t="inlineStr">
        <is>
          <t>yes</t>
        </is>
      </c>
      <c r="N471" t="inlineStr"/>
      <c r="O471" s="24" t="inlineStr"/>
    </row>
    <row r="472">
      <c r="A472" t="inlineStr">
        <is>
          <t>R7.71</t>
        </is>
      </c>
      <c r="B472" t="inlineStr">
        <is>
          <t>sensitive</t>
        </is>
      </c>
      <c r="C472" s="24" t="inlineStr">
        <is>
          <t>hybrid_priority_001_readpass</t>
        </is>
      </c>
      <c r="D472" s="24" t="inlineStr">
        <is>
          <t>8 holdouts / fixed 1,000-doc latency sample</t>
        </is>
      </c>
      <c r="E472" t="inlineStr">
        <is>
          <t>T1</t>
        </is>
      </c>
      <c r="F472" s="25" t="n">
        <v>1000</v>
      </c>
      <c r="G472" t="inlineStr">
        <is>
          <t>peak_rss_mb</t>
        </is>
      </c>
      <c r="H472" s="26" t="n">
        <v>1000.8984375</v>
      </c>
      <c r="I472" s="26" t="n"/>
      <c r="J472" s="26" t="n"/>
      <c r="M472" t="inlineStr">
        <is>
          <t>no</t>
        </is>
      </c>
      <c r="N472" t="inlineStr"/>
      <c r="O472" s="24" t="inlineStr"/>
    </row>
    <row r="473">
      <c r="A473" t="inlineStr">
        <is>
          <t>R7.71</t>
        </is>
      </c>
      <c r="B473" t="inlineStr">
        <is>
          <t>sensitive</t>
        </is>
      </c>
      <c r="C473" s="24" t="inlineStr">
        <is>
          <t>hybrid_priority_001_readpass</t>
        </is>
      </c>
      <c r="D473" s="24" t="inlineStr">
        <is>
          <t>8 holdouts / fixed 1,000-doc latency sample</t>
        </is>
      </c>
      <c r="E473" t="inlineStr">
        <is>
          <t>T1</t>
        </is>
      </c>
      <c r="F473" s="25" t="n">
        <v>1000</v>
      </c>
      <c r="G473" t="inlineStr">
        <is>
          <t>priority_point_passes</t>
        </is>
      </c>
      <c r="H473" s="26" t="n">
        <v>55</v>
      </c>
      <c r="I473" s="26" t="n"/>
      <c r="J473" s="26" t="n"/>
      <c r="M473" t="inlineStr">
        <is>
          <t>yes</t>
        </is>
      </c>
      <c r="N473" t="inlineStr"/>
      <c r="O473" s="24" t="inlineStr"/>
    </row>
    <row r="474">
      <c r="A474" t="inlineStr">
        <is>
          <t>R7.71</t>
        </is>
      </c>
      <c r="B474" t="inlineStr">
        <is>
          <t>sensitive</t>
        </is>
      </c>
      <c r="C474" s="24" t="inlineStr">
        <is>
          <t>hybrid_priority_001_readpass</t>
        </is>
      </c>
      <c r="D474" s="24" t="inlineStr">
        <is>
          <t>8 holdouts / fixed 1,000-doc latency sample</t>
        </is>
      </c>
      <c r="E474" t="inlineStr">
        <is>
          <t>T1</t>
        </is>
      </c>
      <c r="F474" s="25" t="n">
        <v>1000</v>
      </c>
      <c r="G474" t="inlineStr">
        <is>
          <t>worst_priority_recall</t>
        </is>
      </c>
      <c r="H474" s="26" t="n">
        <v>0.9685746352413019</v>
      </c>
      <c r="I474" s="26" t="n"/>
      <c r="J474" s="26" t="n"/>
      <c r="M474" t="inlineStr">
        <is>
          <t>yes</t>
        </is>
      </c>
      <c r="N474" t="inlineStr"/>
      <c r="O474" s="24" t="inlineStr"/>
    </row>
    <row r="475">
      <c r="A475" t="inlineStr">
        <is>
          <t>R7.72</t>
        </is>
      </c>
      <c r="B475" t="inlineStr">
        <is>
          <t>sensitive</t>
        </is>
      </c>
      <c r="C475" s="24" t="inlineStr">
        <is>
          <t>hybrid_priority_001_readpass</t>
        </is>
      </c>
      <c r="D475" s="24" t="inlineStr">
        <is>
          <t>8 holdouts / fixed 1,000-doc latency sample</t>
        </is>
      </c>
      <c r="E475" t="inlineStr">
        <is>
          <t>T2</t>
        </is>
      </c>
      <c r="F475" s="25" t="n">
        <v>1000</v>
      </c>
      <c r="G475" t="inlineStr">
        <is>
          <t>docs_per_s</t>
        </is>
      </c>
      <c r="H475" s="26" t="n">
        <v>550.7967760617692</v>
      </c>
      <c r="I475" s="26" t="n"/>
      <c r="J475" s="26" t="n"/>
      <c r="M475" t="inlineStr">
        <is>
          <t>yes</t>
        </is>
      </c>
      <c r="N475" t="inlineStr"/>
      <c r="O475" s="24" t="inlineStr"/>
    </row>
    <row r="476">
      <c r="A476" t="inlineStr">
        <is>
          <t>R7.72</t>
        </is>
      </c>
      <c r="B476" t="inlineStr">
        <is>
          <t>sensitive</t>
        </is>
      </c>
      <c r="C476" s="24" t="inlineStr">
        <is>
          <t>hybrid_priority_001_readpass</t>
        </is>
      </c>
      <c r="D476" s="24" t="inlineStr">
        <is>
          <t>8 holdouts / fixed 1,000-doc latency sample</t>
        </is>
      </c>
      <c r="E476" t="inlineStr">
        <is>
          <t>T2</t>
        </is>
      </c>
      <c r="F476" s="25" t="n">
        <v>1000</v>
      </c>
      <c r="G476" t="inlineStr">
        <is>
          <t>latency_p50_ms</t>
        </is>
      </c>
      <c r="H476" s="26" t="n">
        <v>0.6581535000000001</v>
      </c>
      <c r="I476" s="26" t="n"/>
      <c r="J476" s="26" t="n"/>
      <c r="M476" t="inlineStr">
        <is>
          <t>no</t>
        </is>
      </c>
      <c r="N476" t="inlineStr"/>
      <c r="O476" s="24" t="inlineStr"/>
    </row>
    <row r="477">
      <c r="A477" t="inlineStr">
        <is>
          <t>R7.72</t>
        </is>
      </c>
      <c r="B477" t="inlineStr">
        <is>
          <t>sensitive</t>
        </is>
      </c>
      <c r="C477" s="24" t="inlineStr">
        <is>
          <t>hybrid_priority_001_readpass</t>
        </is>
      </c>
      <c r="D477" s="24" t="inlineStr">
        <is>
          <t>8 holdouts / fixed 1,000-doc latency sample</t>
        </is>
      </c>
      <c r="E477" t="inlineStr">
        <is>
          <t>T2</t>
        </is>
      </c>
      <c r="F477" s="25" t="n">
        <v>1000</v>
      </c>
      <c r="G477" t="inlineStr">
        <is>
          <t>latency_p95_ms</t>
        </is>
      </c>
      <c r="H477" s="26" t="n">
        <v>5.701291099999999</v>
      </c>
      <c r="I477" s="26" t="n"/>
      <c r="J477" s="26" t="n"/>
      <c r="M477" t="inlineStr">
        <is>
          <t>no</t>
        </is>
      </c>
      <c r="N477" t="inlineStr"/>
      <c r="O477" s="24" t="inlineStr"/>
    </row>
    <row r="478">
      <c r="A478" t="inlineStr">
        <is>
          <t>R7.72</t>
        </is>
      </c>
      <c r="B478" t="inlineStr">
        <is>
          <t>sensitive</t>
        </is>
      </c>
      <c r="C478" s="24" t="inlineStr">
        <is>
          <t>hybrid_priority_001_readpass</t>
        </is>
      </c>
      <c r="D478" s="24" t="inlineStr">
        <is>
          <t>8 holdouts / fixed 1,000-doc latency sample</t>
        </is>
      </c>
      <c r="E478" t="inlineStr">
        <is>
          <t>T2</t>
        </is>
      </c>
      <c r="F478" s="25" t="n">
        <v>1000</v>
      </c>
      <c r="G478" t="inlineStr">
        <is>
          <t>latency_p99_ms</t>
        </is>
      </c>
      <c r="H478" s="26" t="n">
        <v>7.05655085</v>
      </c>
      <c r="I478" s="26" t="n"/>
      <c r="J478" s="26" t="n"/>
      <c r="M478" t="inlineStr">
        <is>
          <t>no</t>
        </is>
      </c>
      <c r="N478" t="inlineStr"/>
      <c r="O478" s="24" t="inlineStr"/>
    </row>
    <row r="479">
      <c r="A479" t="inlineStr">
        <is>
          <t>R7.72</t>
        </is>
      </c>
      <c r="B479" t="inlineStr">
        <is>
          <t>sensitive</t>
        </is>
      </c>
      <c r="C479" s="24" t="inlineStr">
        <is>
          <t>hybrid_priority_001_readpass</t>
        </is>
      </c>
      <c r="D479" s="24" t="inlineStr">
        <is>
          <t>8 holdouts / fixed 1,000-doc latency sample</t>
        </is>
      </c>
      <c r="E479" t="inlineStr">
        <is>
          <t>T2</t>
        </is>
      </c>
      <c r="F479" s="25" t="n">
        <v>1000</v>
      </c>
      <c r="G479" t="inlineStr">
        <is>
          <t>macro_f2</t>
        </is>
      </c>
      <c r="H479" s="26" t="n">
        <v>0.4466240745313433</v>
      </c>
      <c r="I479" s="26" t="n"/>
      <c r="J479" s="26" t="n"/>
      <c r="M479" t="inlineStr">
        <is>
          <t>yes</t>
        </is>
      </c>
      <c r="N479" t="inlineStr">
        <is>
          <t>yes</t>
        </is>
      </c>
      <c r="O479" s="24" t="inlineStr"/>
    </row>
    <row r="480">
      <c r="A480" t="inlineStr">
        <is>
          <t>R7.72</t>
        </is>
      </c>
      <c r="B480" t="inlineStr">
        <is>
          <t>sensitive</t>
        </is>
      </c>
      <c r="C480" s="24" t="inlineStr">
        <is>
          <t>hybrid_priority_001_readpass</t>
        </is>
      </c>
      <c r="D480" s="24" t="inlineStr">
        <is>
          <t>8 holdouts / fixed 1,000-doc latency sample</t>
        </is>
      </c>
      <c r="E480" t="inlineStr">
        <is>
          <t>T2</t>
        </is>
      </c>
      <c r="F480" s="25" t="n">
        <v>1000</v>
      </c>
      <c r="G480" t="inlineStr">
        <is>
          <t>micro_f1</t>
        </is>
      </c>
      <c r="H480" s="26" t="n">
        <v>0.3633970176265691</v>
      </c>
      <c r="I480" s="26" t="n"/>
      <c r="J480" s="26" t="n"/>
      <c r="M480" t="inlineStr">
        <is>
          <t>yes</t>
        </is>
      </c>
      <c r="N480" t="inlineStr"/>
      <c r="O480" s="24" t="inlineStr"/>
    </row>
    <row r="481">
      <c r="A481" t="inlineStr">
        <is>
          <t>R7.72</t>
        </is>
      </c>
      <c r="B481" t="inlineStr">
        <is>
          <t>sensitive</t>
        </is>
      </c>
      <c r="C481" s="24" t="inlineStr">
        <is>
          <t>hybrid_priority_001_readpass</t>
        </is>
      </c>
      <c r="D481" s="24" t="inlineStr">
        <is>
          <t>8 holdouts / fixed 1,000-doc latency sample</t>
        </is>
      </c>
      <c r="E481" t="inlineStr">
        <is>
          <t>T2</t>
        </is>
      </c>
      <c r="F481" s="25" t="n">
        <v>1000</v>
      </c>
      <c r="G481" t="inlineStr">
        <is>
          <t>peak_rss_mb</t>
        </is>
      </c>
      <c r="H481" s="26" t="n">
        <v>1000.8984375</v>
      </c>
      <c r="I481" s="26" t="n"/>
      <c r="J481" s="26" t="n"/>
      <c r="M481" t="inlineStr">
        <is>
          <t>no</t>
        </is>
      </c>
      <c r="N481" t="inlineStr"/>
      <c r="O481" s="24" t="inlineStr"/>
    </row>
    <row r="482">
      <c r="A482" t="inlineStr">
        <is>
          <t>R7.72</t>
        </is>
      </c>
      <c r="B482" t="inlineStr">
        <is>
          <t>sensitive</t>
        </is>
      </c>
      <c r="C482" s="24" t="inlineStr">
        <is>
          <t>hybrid_priority_001_readpass</t>
        </is>
      </c>
      <c r="D482" s="24" t="inlineStr">
        <is>
          <t>8 holdouts / fixed 1,000-doc latency sample</t>
        </is>
      </c>
      <c r="E482" t="inlineStr">
        <is>
          <t>T2</t>
        </is>
      </c>
      <c r="F482" s="25" t="n">
        <v>1000</v>
      </c>
      <c r="G482" t="inlineStr">
        <is>
          <t>priority_point_passes</t>
        </is>
      </c>
      <c r="H482" s="26" t="n">
        <v>55</v>
      </c>
      <c r="I482" s="26" t="n"/>
      <c r="J482" s="26" t="n"/>
      <c r="M482" t="inlineStr">
        <is>
          <t>yes</t>
        </is>
      </c>
      <c r="N482" t="inlineStr"/>
      <c r="O482" s="24" t="inlineStr"/>
    </row>
    <row r="483">
      <c r="A483" t="inlineStr">
        <is>
          <t>R7.72</t>
        </is>
      </c>
      <c r="B483" t="inlineStr">
        <is>
          <t>sensitive</t>
        </is>
      </c>
      <c r="C483" s="24" t="inlineStr">
        <is>
          <t>hybrid_priority_001_readpass</t>
        </is>
      </c>
      <c r="D483" s="24" t="inlineStr">
        <is>
          <t>8 holdouts / fixed 1,000-doc latency sample</t>
        </is>
      </c>
      <c r="E483" t="inlineStr">
        <is>
          <t>T2</t>
        </is>
      </c>
      <c r="F483" s="25" t="n">
        <v>1000</v>
      </c>
      <c r="G483" t="inlineStr">
        <is>
          <t>worst_priority_recall</t>
        </is>
      </c>
      <c r="H483" s="26" t="n">
        <v>0.9966329966329966</v>
      </c>
      <c r="I483" s="26" t="n"/>
      <c r="J483" s="26" t="n"/>
      <c r="M483" t="inlineStr">
        <is>
          <t>yes</t>
        </is>
      </c>
      <c r="N483" t="inlineStr"/>
      <c r="O483" s="24" t="inlineStr"/>
    </row>
    <row r="484">
      <c r="A484" t="inlineStr">
        <is>
          <t>R7.73</t>
        </is>
      </c>
      <c r="B484" t="inlineStr">
        <is>
          <t>sensitive</t>
        </is>
      </c>
      <c r="C484" s="24" t="inlineStr">
        <is>
          <t>hybrid_priority_001_readpass</t>
        </is>
      </c>
      <c r="D484" s="24" t="inlineStr">
        <is>
          <t>8 holdouts / fixed 1,000-doc latency sample</t>
        </is>
      </c>
      <c r="E484" t="inlineStr">
        <is>
          <t>T2</t>
        </is>
      </c>
      <c r="F484" s="25" t="n">
        <v>1000</v>
      </c>
      <c r="G484" t="inlineStr">
        <is>
          <t>docs_per_s</t>
        </is>
      </c>
      <c r="H484" s="26" t="n">
        <v>455.4095583707113</v>
      </c>
      <c r="I484" s="26" t="n"/>
      <c r="J484" s="26" t="n"/>
      <c r="M484" t="inlineStr">
        <is>
          <t>yes</t>
        </is>
      </c>
      <c r="N484" t="inlineStr"/>
      <c r="O484" s="24" t="inlineStr"/>
    </row>
    <row r="485">
      <c r="A485" t="inlineStr">
        <is>
          <t>R7.73</t>
        </is>
      </c>
      <c r="B485" t="inlineStr">
        <is>
          <t>sensitive</t>
        </is>
      </c>
      <c r="C485" s="24" t="inlineStr">
        <is>
          <t>hybrid_priority_001_readpass</t>
        </is>
      </c>
      <c r="D485" s="24" t="inlineStr">
        <is>
          <t>8 holdouts / fixed 1,000-doc latency sample</t>
        </is>
      </c>
      <c r="E485" t="inlineStr">
        <is>
          <t>T2</t>
        </is>
      </c>
      <c r="F485" s="25" t="n">
        <v>1000</v>
      </c>
      <c r="G485" t="inlineStr">
        <is>
          <t>latency_p50_ms</t>
        </is>
      </c>
      <c r="H485" s="26" t="n">
        <v>0.6793075</v>
      </c>
      <c r="I485" s="26" t="n"/>
      <c r="J485" s="26" t="n"/>
      <c r="M485" t="inlineStr">
        <is>
          <t>no</t>
        </is>
      </c>
      <c r="N485" t="inlineStr"/>
      <c r="O485" s="24" t="inlineStr"/>
    </row>
    <row r="486">
      <c r="A486" t="inlineStr">
        <is>
          <t>R7.73</t>
        </is>
      </c>
      <c r="B486" t="inlineStr">
        <is>
          <t>sensitive</t>
        </is>
      </c>
      <c r="C486" s="24" t="inlineStr">
        <is>
          <t>hybrid_priority_001_readpass</t>
        </is>
      </c>
      <c r="D486" s="24" t="inlineStr">
        <is>
          <t>8 holdouts / fixed 1,000-doc latency sample</t>
        </is>
      </c>
      <c r="E486" t="inlineStr">
        <is>
          <t>T2</t>
        </is>
      </c>
      <c r="F486" s="25" t="n">
        <v>1000</v>
      </c>
      <c r="G486" t="inlineStr">
        <is>
          <t>latency_p95_ms</t>
        </is>
      </c>
      <c r="H486" s="26" t="n">
        <v>7.64901075</v>
      </c>
      <c r="I486" s="26" t="n"/>
      <c r="J486" s="26" t="n"/>
      <c r="M486" t="inlineStr">
        <is>
          <t>no</t>
        </is>
      </c>
      <c r="N486" t="inlineStr"/>
      <c r="O486" s="24" t="inlineStr"/>
    </row>
    <row r="487">
      <c r="A487" t="inlineStr">
        <is>
          <t>R7.73</t>
        </is>
      </c>
      <c r="B487" t="inlineStr">
        <is>
          <t>sensitive</t>
        </is>
      </c>
      <c r="C487" s="24" t="inlineStr">
        <is>
          <t>hybrid_priority_001_readpass</t>
        </is>
      </c>
      <c r="D487" s="24" t="inlineStr">
        <is>
          <t>8 holdouts / fixed 1,000-doc latency sample</t>
        </is>
      </c>
      <c r="E487" t="inlineStr">
        <is>
          <t>T2</t>
        </is>
      </c>
      <c r="F487" s="25" t="n">
        <v>1000</v>
      </c>
      <c r="G487" t="inlineStr">
        <is>
          <t>latency_p99_ms</t>
        </is>
      </c>
      <c r="H487" s="26" t="n">
        <v>10.91859276</v>
      </c>
      <c r="I487" s="26" t="n"/>
      <c r="J487" s="26" t="n"/>
      <c r="M487" t="inlineStr">
        <is>
          <t>no</t>
        </is>
      </c>
      <c r="N487" t="inlineStr"/>
      <c r="O487" s="24" t="inlineStr"/>
    </row>
    <row r="488">
      <c r="A488" t="inlineStr">
        <is>
          <t>R7.73</t>
        </is>
      </c>
      <c r="B488" t="inlineStr">
        <is>
          <t>sensitive</t>
        </is>
      </c>
      <c r="C488" s="24" t="inlineStr">
        <is>
          <t>hybrid_priority_001_readpass</t>
        </is>
      </c>
      <c r="D488" s="24" t="inlineStr">
        <is>
          <t>8 holdouts / fixed 1,000-doc latency sample</t>
        </is>
      </c>
      <c r="E488" t="inlineStr">
        <is>
          <t>T2</t>
        </is>
      </c>
      <c r="F488" s="25" t="n">
        <v>1000</v>
      </c>
      <c r="G488" t="inlineStr">
        <is>
          <t>macro_f2</t>
        </is>
      </c>
      <c r="H488" s="26" t="n">
        <v>0.4466479172234951</v>
      </c>
      <c r="I488" s="26" t="n"/>
      <c r="J488" s="26" t="n"/>
      <c r="M488" t="inlineStr">
        <is>
          <t>yes</t>
        </is>
      </c>
      <c r="N488" t="inlineStr">
        <is>
          <t>yes</t>
        </is>
      </c>
      <c r="O488" s="24" t="inlineStr"/>
    </row>
    <row r="489">
      <c r="A489" t="inlineStr">
        <is>
          <t>R7.73</t>
        </is>
      </c>
      <c r="B489" t="inlineStr">
        <is>
          <t>sensitive</t>
        </is>
      </c>
      <c r="C489" s="24" t="inlineStr">
        <is>
          <t>hybrid_priority_001_readpass</t>
        </is>
      </c>
      <c r="D489" s="24" t="inlineStr">
        <is>
          <t>8 holdouts / fixed 1,000-doc latency sample</t>
        </is>
      </c>
      <c r="E489" t="inlineStr">
        <is>
          <t>T2</t>
        </is>
      </c>
      <c r="F489" s="25" t="n">
        <v>1000</v>
      </c>
      <c r="G489" t="inlineStr">
        <is>
          <t>micro_f1</t>
        </is>
      </c>
      <c r="H489" s="26" t="n">
        <v>0.3634095748846606</v>
      </c>
      <c r="I489" s="26" t="n"/>
      <c r="J489" s="26" t="n"/>
      <c r="M489" t="inlineStr">
        <is>
          <t>yes</t>
        </is>
      </c>
      <c r="N489" t="inlineStr"/>
      <c r="O489" s="24" t="inlineStr"/>
    </row>
    <row r="490">
      <c r="A490" t="inlineStr">
        <is>
          <t>R7.73</t>
        </is>
      </c>
      <c r="B490" t="inlineStr">
        <is>
          <t>sensitive</t>
        </is>
      </c>
      <c r="C490" s="24" t="inlineStr">
        <is>
          <t>hybrid_priority_001_readpass</t>
        </is>
      </c>
      <c r="D490" s="24" t="inlineStr">
        <is>
          <t>8 holdouts / fixed 1,000-doc latency sample</t>
        </is>
      </c>
      <c r="E490" t="inlineStr">
        <is>
          <t>T2</t>
        </is>
      </c>
      <c r="F490" s="25" t="n">
        <v>1000</v>
      </c>
      <c r="G490" t="inlineStr">
        <is>
          <t>peak_rss_mb</t>
        </is>
      </c>
      <c r="H490" s="26" t="n">
        <v>1000.8984375</v>
      </c>
      <c r="I490" s="26" t="n"/>
      <c r="J490" s="26" t="n"/>
      <c r="M490" t="inlineStr">
        <is>
          <t>no</t>
        </is>
      </c>
      <c r="N490" t="inlineStr"/>
      <c r="O490" s="24" t="inlineStr"/>
    </row>
    <row r="491">
      <c r="A491" t="inlineStr">
        <is>
          <t>R7.73</t>
        </is>
      </c>
      <c r="B491" t="inlineStr">
        <is>
          <t>sensitive</t>
        </is>
      </c>
      <c r="C491" s="24" t="inlineStr">
        <is>
          <t>hybrid_priority_001_readpass</t>
        </is>
      </c>
      <c r="D491" s="24" t="inlineStr">
        <is>
          <t>8 holdouts / fixed 1,000-doc latency sample</t>
        </is>
      </c>
      <c r="E491" t="inlineStr">
        <is>
          <t>T2</t>
        </is>
      </c>
      <c r="F491" s="25" t="n">
        <v>1000</v>
      </c>
      <c r="G491" t="inlineStr">
        <is>
          <t>priority_point_passes</t>
        </is>
      </c>
      <c r="H491" s="26" t="n">
        <v>55</v>
      </c>
      <c r="I491" s="26" t="n"/>
      <c r="J491" s="26" t="n"/>
      <c r="M491" t="inlineStr">
        <is>
          <t>yes</t>
        </is>
      </c>
      <c r="N491" t="inlineStr"/>
      <c r="O491" s="24" t="inlineStr"/>
    </row>
    <row r="492">
      <c r="A492" t="inlineStr">
        <is>
          <t>R7.73</t>
        </is>
      </c>
      <c r="B492" t="inlineStr">
        <is>
          <t>sensitive</t>
        </is>
      </c>
      <c r="C492" s="24" t="inlineStr">
        <is>
          <t>hybrid_priority_001_readpass</t>
        </is>
      </c>
      <c r="D492" s="24" t="inlineStr">
        <is>
          <t>8 holdouts / fixed 1,000-doc latency sample</t>
        </is>
      </c>
      <c r="E492" t="inlineStr">
        <is>
          <t>T2</t>
        </is>
      </c>
      <c r="F492" s="25" t="n">
        <v>1000</v>
      </c>
      <c r="G492" t="inlineStr">
        <is>
          <t>worst_priority_recall</t>
        </is>
      </c>
      <c r="H492" s="26" t="n">
        <v>0.9966329966329966</v>
      </c>
      <c r="I492" s="26" t="n"/>
      <c r="J492" s="26" t="n"/>
      <c r="M492" t="inlineStr">
        <is>
          <t>yes</t>
        </is>
      </c>
      <c r="N492" t="inlineStr"/>
      <c r="O492" s="24" t="inlineStr"/>
    </row>
    <row r="493">
      <c r="A493" t="inlineStr">
        <is>
          <t>R7.74</t>
        </is>
      </c>
      <c r="B493" t="inlineStr">
        <is>
          <t>sensitive</t>
        </is>
      </c>
      <c r="C493" s="24" t="inlineStr">
        <is>
          <t>hybrid_priority_readpass</t>
        </is>
      </c>
      <c r="D493" s="24" t="inlineStr">
        <is>
          <t>8 holdouts / fixed 1,000-doc latency sample</t>
        </is>
      </c>
      <c r="E493" t="inlineStr">
        <is>
          <t>T1</t>
        </is>
      </c>
      <c r="F493" s="25" t="n">
        <v>1000</v>
      </c>
      <c r="G493" t="inlineStr">
        <is>
          <t>docs_per_s</t>
        </is>
      </c>
      <c r="H493" s="26" t="n">
        <v>919.1197682993916</v>
      </c>
      <c r="I493" s="26" t="n"/>
      <c r="J493" s="26" t="n"/>
      <c r="M493" t="inlineStr">
        <is>
          <t>yes</t>
        </is>
      </c>
      <c r="N493" t="inlineStr"/>
      <c r="O493" s="24" t="inlineStr"/>
    </row>
    <row r="494">
      <c r="A494" t="inlineStr">
        <is>
          <t>R7.74</t>
        </is>
      </c>
      <c r="B494" t="inlineStr">
        <is>
          <t>sensitive</t>
        </is>
      </c>
      <c r="C494" s="24" t="inlineStr">
        <is>
          <t>hybrid_priority_readpass</t>
        </is>
      </c>
      <c r="D494" s="24" t="inlineStr">
        <is>
          <t>8 holdouts / fixed 1,000-doc latency sample</t>
        </is>
      </c>
      <c r="E494" t="inlineStr">
        <is>
          <t>T1</t>
        </is>
      </c>
      <c r="F494" s="25" t="n">
        <v>1000</v>
      </c>
      <c r="G494" t="inlineStr">
        <is>
          <t>latency_p50_ms</t>
        </is>
      </c>
      <c r="H494" s="26" t="n">
        <v>0.8245045</v>
      </c>
      <c r="I494" s="26" t="n"/>
      <c r="J494" s="26" t="n"/>
      <c r="M494" t="inlineStr">
        <is>
          <t>no</t>
        </is>
      </c>
      <c r="N494" t="inlineStr"/>
      <c r="O494" s="24" t="inlineStr"/>
    </row>
    <row r="495">
      <c r="A495" t="inlineStr">
        <is>
          <t>R7.74</t>
        </is>
      </c>
      <c r="B495" t="inlineStr">
        <is>
          <t>sensitive</t>
        </is>
      </c>
      <c r="C495" s="24" t="inlineStr">
        <is>
          <t>hybrid_priority_readpass</t>
        </is>
      </c>
      <c r="D495" s="24" t="inlineStr">
        <is>
          <t>8 holdouts / fixed 1,000-doc latency sample</t>
        </is>
      </c>
      <c r="E495" t="inlineStr">
        <is>
          <t>T1</t>
        </is>
      </c>
      <c r="F495" s="25" t="n">
        <v>1000</v>
      </c>
      <c r="G495" t="inlineStr">
        <is>
          <t>latency_p95_ms</t>
        </is>
      </c>
      <c r="H495" s="26" t="n">
        <v>2.2000839</v>
      </c>
      <c r="I495" s="26" t="n"/>
      <c r="J495" s="26" t="n"/>
      <c r="M495" t="inlineStr">
        <is>
          <t>no</t>
        </is>
      </c>
      <c r="N495" t="inlineStr"/>
      <c r="O495" s="24" t="inlineStr"/>
    </row>
    <row r="496">
      <c r="A496" t="inlineStr">
        <is>
          <t>R7.74</t>
        </is>
      </c>
      <c r="B496" t="inlineStr">
        <is>
          <t>sensitive</t>
        </is>
      </c>
      <c r="C496" s="24" t="inlineStr">
        <is>
          <t>hybrid_priority_readpass</t>
        </is>
      </c>
      <c r="D496" s="24" t="inlineStr">
        <is>
          <t>8 holdouts / fixed 1,000-doc latency sample</t>
        </is>
      </c>
      <c r="E496" t="inlineStr">
        <is>
          <t>T1</t>
        </is>
      </c>
      <c r="F496" s="25" t="n">
        <v>1000</v>
      </c>
      <c r="G496" t="inlineStr">
        <is>
          <t>latency_p99_ms</t>
        </is>
      </c>
      <c r="H496" s="26" t="n">
        <v>2.38580018</v>
      </c>
      <c r="I496" s="26" t="n"/>
      <c r="J496" s="26" t="n"/>
      <c r="M496" t="inlineStr">
        <is>
          <t>no</t>
        </is>
      </c>
      <c r="N496" t="inlineStr"/>
      <c r="O496" s="24" t="inlineStr"/>
    </row>
    <row r="497">
      <c r="A497" t="inlineStr">
        <is>
          <t>R7.74</t>
        </is>
      </c>
      <c r="B497" t="inlineStr">
        <is>
          <t>sensitive</t>
        </is>
      </c>
      <c r="C497" s="24" t="inlineStr">
        <is>
          <t>hybrid_priority_readpass</t>
        </is>
      </c>
      <c r="D497" s="24" t="inlineStr">
        <is>
          <t>8 holdouts / fixed 1,000-doc latency sample</t>
        </is>
      </c>
      <c r="E497" t="inlineStr">
        <is>
          <t>T1</t>
        </is>
      </c>
      <c r="F497" s="25" t="n">
        <v>1000</v>
      </c>
      <c r="G497" t="inlineStr">
        <is>
          <t>macro_f2</t>
        </is>
      </c>
      <c r="H497" s="26" t="n">
        <v>0.4834574938201012</v>
      </c>
      <c r="I497" s="26" t="n"/>
      <c r="J497" s="26" t="n"/>
      <c r="M497" t="inlineStr">
        <is>
          <t>yes</t>
        </is>
      </c>
      <c r="N497" t="inlineStr">
        <is>
          <t>yes</t>
        </is>
      </c>
      <c r="O497" s="24" t="inlineStr"/>
    </row>
    <row r="498">
      <c r="A498" t="inlineStr">
        <is>
          <t>R7.74</t>
        </is>
      </c>
      <c r="B498" t="inlineStr">
        <is>
          <t>sensitive</t>
        </is>
      </c>
      <c r="C498" s="24" t="inlineStr">
        <is>
          <t>hybrid_priority_readpass</t>
        </is>
      </c>
      <c r="D498" s="24" t="inlineStr">
        <is>
          <t>8 holdouts / fixed 1,000-doc latency sample</t>
        </is>
      </c>
      <c r="E498" t="inlineStr">
        <is>
          <t>T1</t>
        </is>
      </c>
      <c r="F498" s="25" t="n">
        <v>1000</v>
      </c>
      <c r="G498" t="inlineStr">
        <is>
          <t>micro_f1</t>
        </is>
      </c>
      <c r="H498" s="26" t="n">
        <v>0.3811839608053426</v>
      </c>
      <c r="I498" s="26" t="n"/>
      <c r="J498" s="26" t="n"/>
      <c r="M498" t="inlineStr">
        <is>
          <t>yes</t>
        </is>
      </c>
      <c r="N498" t="inlineStr"/>
      <c r="O498" s="24" t="inlineStr"/>
    </row>
    <row r="499">
      <c r="A499" t="inlineStr">
        <is>
          <t>R7.74</t>
        </is>
      </c>
      <c r="B499" t="inlineStr">
        <is>
          <t>sensitive</t>
        </is>
      </c>
      <c r="C499" s="24" t="inlineStr">
        <is>
          <t>hybrid_priority_readpass</t>
        </is>
      </c>
      <c r="D499" s="24" t="inlineStr">
        <is>
          <t>8 holdouts / fixed 1,000-doc latency sample</t>
        </is>
      </c>
      <c r="E499" t="inlineStr">
        <is>
          <t>T1</t>
        </is>
      </c>
      <c r="F499" s="25" t="n">
        <v>1000</v>
      </c>
      <c r="G499" t="inlineStr">
        <is>
          <t>peak_rss_mb</t>
        </is>
      </c>
      <c r="H499" s="26" t="n">
        <v>1000.8984375</v>
      </c>
      <c r="I499" s="26" t="n"/>
      <c r="J499" s="26" t="n"/>
      <c r="M499" t="inlineStr">
        <is>
          <t>no</t>
        </is>
      </c>
      <c r="N499" t="inlineStr"/>
      <c r="O499" s="24" t="inlineStr"/>
    </row>
    <row r="500">
      <c r="A500" t="inlineStr">
        <is>
          <t>R7.74</t>
        </is>
      </c>
      <c r="B500" t="inlineStr">
        <is>
          <t>sensitive</t>
        </is>
      </c>
      <c r="C500" s="24" t="inlineStr">
        <is>
          <t>hybrid_priority_readpass</t>
        </is>
      </c>
      <c r="D500" s="24" t="inlineStr">
        <is>
          <t>8 holdouts / fixed 1,000-doc latency sample</t>
        </is>
      </c>
      <c r="E500" t="inlineStr">
        <is>
          <t>T1</t>
        </is>
      </c>
      <c r="F500" s="25" t="n">
        <v>1000</v>
      </c>
      <c r="G500" t="inlineStr">
        <is>
          <t>priority_point_passes</t>
        </is>
      </c>
      <c r="H500" s="26" t="n">
        <v>55</v>
      </c>
      <c r="I500" s="26" t="n"/>
      <c r="J500" s="26" t="n"/>
      <c r="M500" t="inlineStr">
        <is>
          <t>yes</t>
        </is>
      </c>
      <c r="N500" t="inlineStr"/>
      <c r="O500" s="24" t="inlineStr"/>
    </row>
    <row r="501">
      <c r="A501" t="inlineStr">
        <is>
          <t>R7.74</t>
        </is>
      </c>
      <c r="B501" t="inlineStr">
        <is>
          <t>sensitive</t>
        </is>
      </c>
      <c r="C501" s="24" t="inlineStr">
        <is>
          <t>hybrid_priority_readpass</t>
        </is>
      </c>
      <c r="D501" s="24" t="inlineStr">
        <is>
          <t>8 holdouts / fixed 1,000-doc latency sample</t>
        </is>
      </c>
      <c r="E501" t="inlineStr">
        <is>
          <t>T1</t>
        </is>
      </c>
      <c r="F501" s="25" t="n">
        <v>1000</v>
      </c>
      <c r="G501" t="inlineStr">
        <is>
          <t>worst_priority_recall</t>
        </is>
      </c>
      <c r="H501" s="26" t="n">
        <v>0.9887766554433222</v>
      </c>
      <c r="I501" s="26" t="n"/>
      <c r="J501" s="26" t="n"/>
      <c r="M501" t="inlineStr">
        <is>
          <t>yes</t>
        </is>
      </c>
      <c r="N501" t="inlineStr"/>
      <c r="O501" s="24" t="inlineStr"/>
    </row>
    <row r="502">
      <c r="A502" t="inlineStr">
        <is>
          <t>R7.75</t>
        </is>
      </c>
      <c r="B502" t="inlineStr">
        <is>
          <t>sensitive</t>
        </is>
      </c>
      <c r="C502" s="24" t="inlineStr">
        <is>
          <t>hybrid_priority_readpass</t>
        </is>
      </c>
      <c r="D502" s="24" t="inlineStr">
        <is>
          <t>8 holdouts / fixed 1,000-doc latency sample</t>
        </is>
      </c>
      <c r="E502" t="inlineStr">
        <is>
          <t>T1</t>
        </is>
      </c>
      <c r="F502" s="25" t="n">
        <v>1000</v>
      </c>
      <c r="G502" t="inlineStr">
        <is>
          <t>docs_per_s</t>
        </is>
      </c>
      <c r="H502" s="26" t="n">
        <v>570.1166535182754</v>
      </c>
      <c r="I502" s="26" t="n"/>
      <c r="J502" s="26" t="n"/>
      <c r="M502" t="inlineStr">
        <is>
          <t>yes</t>
        </is>
      </c>
      <c r="N502" t="inlineStr"/>
      <c r="O502" s="24" t="inlineStr"/>
    </row>
    <row r="503">
      <c r="A503" t="inlineStr">
        <is>
          <t>R7.75</t>
        </is>
      </c>
      <c r="B503" t="inlineStr">
        <is>
          <t>sensitive</t>
        </is>
      </c>
      <c r="C503" s="24" t="inlineStr">
        <is>
          <t>hybrid_priority_readpass</t>
        </is>
      </c>
      <c r="D503" s="24" t="inlineStr">
        <is>
          <t>8 holdouts / fixed 1,000-doc latency sample</t>
        </is>
      </c>
      <c r="E503" t="inlineStr">
        <is>
          <t>T1</t>
        </is>
      </c>
      <c r="F503" s="25" t="n">
        <v>1000</v>
      </c>
      <c r="G503" t="inlineStr">
        <is>
          <t>latency_p50_ms</t>
        </is>
      </c>
      <c r="H503" s="26" t="n">
        <v>1.0545025</v>
      </c>
      <c r="I503" s="26" t="n"/>
      <c r="J503" s="26" t="n"/>
      <c r="M503" t="inlineStr">
        <is>
          <t>no</t>
        </is>
      </c>
      <c r="N503" t="inlineStr"/>
      <c r="O503" s="24" t="inlineStr"/>
    </row>
    <row r="504">
      <c r="A504" t="inlineStr">
        <is>
          <t>R7.75</t>
        </is>
      </c>
      <c r="B504" t="inlineStr">
        <is>
          <t>sensitive</t>
        </is>
      </c>
      <c r="C504" s="24" t="inlineStr">
        <is>
          <t>hybrid_priority_readpass</t>
        </is>
      </c>
      <c r="D504" s="24" t="inlineStr">
        <is>
          <t>8 holdouts / fixed 1,000-doc latency sample</t>
        </is>
      </c>
      <c r="E504" t="inlineStr">
        <is>
          <t>T1</t>
        </is>
      </c>
      <c r="F504" s="25" t="n">
        <v>1000</v>
      </c>
      <c r="G504" t="inlineStr">
        <is>
          <t>latency_p95_ms</t>
        </is>
      </c>
      <c r="H504" s="26" t="n">
        <v>4.211190449999999</v>
      </c>
      <c r="I504" s="26" t="n"/>
      <c r="J504" s="26" t="n"/>
      <c r="M504" t="inlineStr">
        <is>
          <t>no</t>
        </is>
      </c>
      <c r="N504" t="inlineStr"/>
      <c r="O504" s="24" t="inlineStr"/>
    </row>
    <row r="505">
      <c r="A505" t="inlineStr">
        <is>
          <t>R7.75</t>
        </is>
      </c>
      <c r="B505" t="inlineStr">
        <is>
          <t>sensitive</t>
        </is>
      </c>
      <c r="C505" s="24" t="inlineStr">
        <is>
          <t>hybrid_priority_readpass</t>
        </is>
      </c>
      <c r="D505" s="24" t="inlineStr">
        <is>
          <t>8 holdouts / fixed 1,000-doc latency sample</t>
        </is>
      </c>
      <c r="E505" t="inlineStr">
        <is>
          <t>T1</t>
        </is>
      </c>
      <c r="F505" s="25" t="n">
        <v>1000</v>
      </c>
      <c r="G505" t="inlineStr">
        <is>
          <t>latency_p99_ms</t>
        </is>
      </c>
      <c r="H505" s="26" t="n">
        <v>4.62029506</v>
      </c>
      <c r="I505" s="26" t="n"/>
      <c r="J505" s="26" t="n"/>
      <c r="M505" t="inlineStr">
        <is>
          <t>no</t>
        </is>
      </c>
      <c r="N505" t="inlineStr"/>
      <c r="O505" s="24" t="inlineStr"/>
    </row>
    <row r="506">
      <c r="A506" t="inlineStr">
        <is>
          <t>R7.75</t>
        </is>
      </c>
      <c r="B506" t="inlineStr">
        <is>
          <t>sensitive</t>
        </is>
      </c>
      <c r="C506" s="24" t="inlineStr">
        <is>
          <t>hybrid_priority_readpass</t>
        </is>
      </c>
      <c r="D506" s="24" t="inlineStr">
        <is>
          <t>8 holdouts / fixed 1,000-doc latency sample</t>
        </is>
      </c>
      <c r="E506" t="inlineStr">
        <is>
          <t>T1</t>
        </is>
      </c>
      <c r="F506" s="25" t="n">
        <v>1000</v>
      </c>
      <c r="G506" t="inlineStr">
        <is>
          <t>macro_f2</t>
        </is>
      </c>
      <c r="H506" s="26" t="n">
        <v>0.4796800822473152</v>
      </c>
      <c r="I506" s="26" t="n"/>
      <c r="J506" s="26" t="n"/>
      <c r="M506" t="inlineStr">
        <is>
          <t>yes</t>
        </is>
      </c>
      <c r="N506" t="inlineStr">
        <is>
          <t>yes</t>
        </is>
      </c>
      <c r="O506" s="24" t="inlineStr"/>
    </row>
    <row r="507">
      <c r="A507" t="inlineStr">
        <is>
          <t>R7.75</t>
        </is>
      </c>
      <c r="B507" t="inlineStr">
        <is>
          <t>sensitive</t>
        </is>
      </c>
      <c r="C507" s="24" t="inlineStr">
        <is>
          <t>hybrid_priority_readpass</t>
        </is>
      </c>
      <c r="D507" s="24" t="inlineStr">
        <is>
          <t>8 holdouts / fixed 1,000-doc latency sample</t>
        </is>
      </c>
      <c r="E507" t="inlineStr">
        <is>
          <t>T1</t>
        </is>
      </c>
      <c r="F507" s="25" t="n">
        <v>1000</v>
      </c>
      <c r="G507" t="inlineStr">
        <is>
          <t>micro_f1</t>
        </is>
      </c>
      <c r="H507" s="26" t="n">
        <v>0.3801305749578347</v>
      </c>
      <c r="I507" s="26" t="n"/>
      <c r="J507" s="26" t="n"/>
      <c r="M507" t="inlineStr">
        <is>
          <t>yes</t>
        </is>
      </c>
      <c r="N507" t="inlineStr"/>
      <c r="O507" s="24" t="inlineStr"/>
    </row>
    <row r="508">
      <c r="A508" t="inlineStr">
        <is>
          <t>R7.75</t>
        </is>
      </c>
      <c r="B508" t="inlineStr">
        <is>
          <t>sensitive</t>
        </is>
      </c>
      <c r="C508" s="24" t="inlineStr">
        <is>
          <t>hybrid_priority_readpass</t>
        </is>
      </c>
      <c r="D508" s="24" t="inlineStr">
        <is>
          <t>8 holdouts / fixed 1,000-doc latency sample</t>
        </is>
      </c>
      <c r="E508" t="inlineStr">
        <is>
          <t>T1</t>
        </is>
      </c>
      <c r="F508" s="25" t="n">
        <v>1000</v>
      </c>
      <c r="G508" t="inlineStr">
        <is>
          <t>peak_rss_mb</t>
        </is>
      </c>
      <c r="H508" s="26" t="n">
        <v>1000.8984375</v>
      </c>
      <c r="I508" s="26" t="n"/>
      <c r="J508" s="26" t="n"/>
      <c r="M508" t="inlineStr">
        <is>
          <t>no</t>
        </is>
      </c>
      <c r="N508" t="inlineStr"/>
      <c r="O508" s="24" t="inlineStr"/>
    </row>
    <row r="509">
      <c r="A509" t="inlineStr">
        <is>
          <t>R7.75</t>
        </is>
      </c>
      <c r="B509" t="inlineStr">
        <is>
          <t>sensitive</t>
        </is>
      </c>
      <c r="C509" s="24" t="inlineStr">
        <is>
          <t>hybrid_priority_readpass</t>
        </is>
      </c>
      <c r="D509" s="24" t="inlineStr">
        <is>
          <t>8 holdouts / fixed 1,000-doc latency sample</t>
        </is>
      </c>
      <c r="E509" t="inlineStr">
        <is>
          <t>T1</t>
        </is>
      </c>
      <c r="F509" s="25" t="n">
        <v>1000</v>
      </c>
      <c r="G509" t="inlineStr">
        <is>
          <t>priority_point_passes</t>
        </is>
      </c>
      <c r="H509" s="26" t="n">
        <v>55</v>
      </c>
      <c r="I509" s="26" t="n"/>
      <c r="J509" s="26" t="n"/>
      <c r="M509" t="inlineStr">
        <is>
          <t>yes</t>
        </is>
      </c>
      <c r="N509" t="inlineStr"/>
      <c r="O509" s="24" t="inlineStr"/>
    </row>
    <row r="510">
      <c r="A510" t="inlineStr">
        <is>
          <t>R7.75</t>
        </is>
      </c>
      <c r="B510" t="inlineStr">
        <is>
          <t>sensitive</t>
        </is>
      </c>
      <c r="C510" s="24" t="inlineStr">
        <is>
          <t>hybrid_priority_readpass</t>
        </is>
      </c>
      <c r="D510" s="24" t="inlineStr">
        <is>
          <t>8 holdouts / fixed 1,000-doc latency sample</t>
        </is>
      </c>
      <c r="E510" t="inlineStr">
        <is>
          <t>T1</t>
        </is>
      </c>
      <c r="F510" s="25" t="n">
        <v>1000</v>
      </c>
      <c r="G510" t="inlineStr">
        <is>
          <t>worst_priority_recall</t>
        </is>
      </c>
      <c r="H510" s="26" t="n">
        <v>0.9685746352413019</v>
      </c>
      <c r="I510" s="26" t="n"/>
      <c r="J510" s="26" t="n"/>
      <c r="M510" t="inlineStr">
        <is>
          <t>yes</t>
        </is>
      </c>
      <c r="N510" t="inlineStr"/>
      <c r="O510" s="24" t="inlineStr"/>
    </row>
    <row r="511">
      <c r="A511" t="inlineStr">
        <is>
          <t>R7.76</t>
        </is>
      </c>
      <c r="B511" t="inlineStr">
        <is>
          <t>sensitive</t>
        </is>
      </c>
      <c r="C511" s="24" t="inlineStr">
        <is>
          <t>hybrid_priority_readpass</t>
        </is>
      </c>
      <c r="D511" s="24" t="inlineStr">
        <is>
          <t>8 holdouts / fixed 1,000-doc latency sample</t>
        </is>
      </c>
      <c r="E511" t="inlineStr">
        <is>
          <t>T2</t>
        </is>
      </c>
      <c r="F511" s="25" t="n">
        <v>1000</v>
      </c>
      <c r="G511" t="inlineStr">
        <is>
          <t>docs_per_s</t>
        </is>
      </c>
      <c r="H511" s="26" t="n">
        <v>409.8636117680192</v>
      </c>
      <c r="I511" s="26" t="n"/>
      <c r="J511" s="26" t="n"/>
      <c r="M511" t="inlineStr">
        <is>
          <t>yes</t>
        </is>
      </c>
      <c r="N511" t="inlineStr"/>
      <c r="O511" s="24" t="inlineStr"/>
    </row>
    <row r="512">
      <c r="A512" t="inlineStr">
        <is>
          <t>R7.76</t>
        </is>
      </c>
      <c r="B512" t="inlineStr">
        <is>
          <t>sensitive</t>
        </is>
      </c>
      <c r="C512" s="24" t="inlineStr">
        <is>
          <t>hybrid_priority_readpass</t>
        </is>
      </c>
      <c r="D512" s="24" t="inlineStr">
        <is>
          <t>8 holdouts / fixed 1,000-doc latency sample</t>
        </is>
      </c>
      <c r="E512" t="inlineStr">
        <is>
          <t>T2</t>
        </is>
      </c>
      <c r="F512" s="25" t="n">
        <v>1000</v>
      </c>
      <c r="G512" t="inlineStr">
        <is>
          <t>latency_p50_ms</t>
        </is>
      </c>
      <c r="H512" s="26" t="n">
        <v>1.074857</v>
      </c>
      <c r="I512" s="26" t="n"/>
      <c r="J512" s="26" t="n"/>
      <c r="M512" t="inlineStr">
        <is>
          <t>no</t>
        </is>
      </c>
      <c r="N512" t="inlineStr"/>
      <c r="O512" s="24" t="inlineStr"/>
    </row>
    <row r="513">
      <c r="A513" t="inlineStr">
        <is>
          <t>R7.76</t>
        </is>
      </c>
      <c r="B513" t="inlineStr">
        <is>
          <t>sensitive</t>
        </is>
      </c>
      <c r="C513" s="24" t="inlineStr">
        <is>
          <t>hybrid_priority_readpass</t>
        </is>
      </c>
      <c r="D513" s="24" t="inlineStr">
        <is>
          <t>8 holdouts / fixed 1,000-doc latency sample</t>
        </is>
      </c>
      <c r="E513" t="inlineStr">
        <is>
          <t>T2</t>
        </is>
      </c>
      <c r="F513" s="25" t="n">
        <v>1000</v>
      </c>
      <c r="G513" t="inlineStr">
        <is>
          <t>latency_p95_ms</t>
        </is>
      </c>
      <c r="H513" s="26" t="n">
        <v>6.766443999999999</v>
      </c>
      <c r="I513" s="26" t="n"/>
      <c r="J513" s="26" t="n"/>
      <c r="M513" t="inlineStr">
        <is>
          <t>no</t>
        </is>
      </c>
      <c r="N513" t="inlineStr"/>
      <c r="O513" s="24" t="inlineStr"/>
    </row>
    <row r="514">
      <c r="A514" t="inlineStr">
        <is>
          <t>R7.76</t>
        </is>
      </c>
      <c r="B514" t="inlineStr">
        <is>
          <t>sensitive</t>
        </is>
      </c>
      <c r="C514" s="24" t="inlineStr">
        <is>
          <t>hybrid_priority_readpass</t>
        </is>
      </c>
      <c r="D514" s="24" t="inlineStr">
        <is>
          <t>8 holdouts / fixed 1,000-doc latency sample</t>
        </is>
      </c>
      <c r="E514" t="inlineStr">
        <is>
          <t>T2</t>
        </is>
      </c>
      <c r="F514" s="25" t="n">
        <v>1000</v>
      </c>
      <c r="G514" t="inlineStr">
        <is>
          <t>latency_p99_ms</t>
        </is>
      </c>
      <c r="H514" s="26" t="n">
        <v>8.220361469999999</v>
      </c>
      <c r="I514" s="26" t="n"/>
      <c r="J514" s="26" t="n"/>
      <c r="M514" t="inlineStr">
        <is>
          <t>no</t>
        </is>
      </c>
      <c r="N514" t="inlineStr"/>
      <c r="O514" s="24" t="inlineStr"/>
    </row>
    <row r="515">
      <c r="A515" t="inlineStr">
        <is>
          <t>R7.76</t>
        </is>
      </c>
      <c r="B515" t="inlineStr">
        <is>
          <t>sensitive</t>
        </is>
      </c>
      <c r="C515" s="24" t="inlineStr">
        <is>
          <t>hybrid_priority_readpass</t>
        </is>
      </c>
      <c r="D515" s="24" t="inlineStr">
        <is>
          <t>8 holdouts / fixed 1,000-doc latency sample</t>
        </is>
      </c>
      <c r="E515" t="inlineStr">
        <is>
          <t>T2</t>
        </is>
      </c>
      <c r="F515" s="25" t="n">
        <v>1000</v>
      </c>
      <c r="G515" t="inlineStr">
        <is>
          <t>macro_f2</t>
        </is>
      </c>
      <c r="H515" s="26" t="n">
        <v>0.4798996294441064</v>
      </c>
      <c r="I515" s="26" t="n"/>
      <c r="J515" s="26" t="n"/>
      <c r="M515" t="inlineStr">
        <is>
          <t>yes</t>
        </is>
      </c>
      <c r="N515" t="inlineStr">
        <is>
          <t>yes</t>
        </is>
      </c>
      <c r="O515" s="24" t="inlineStr"/>
    </row>
    <row r="516">
      <c r="A516" t="inlineStr">
        <is>
          <t>R7.76</t>
        </is>
      </c>
      <c r="B516" t="inlineStr">
        <is>
          <t>sensitive</t>
        </is>
      </c>
      <c r="C516" s="24" t="inlineStr">
        <is>
          <t>hybrid_priority_readpass</t>
        </is>
      </c>
      <c r="D516" s="24" t="inlineStr">
        <is>
          <t>8 holdouts / fixed 1,000-doc latency sample</t>
        </is>
      </c>
      <c r="E516" t="inlineStr">
        <is>
          <t>T2</t>
        </is>
      </c>
      <c r="F516" s="25" t="n">
        <v>1000</v>
      </c>
      <c r="G516" t="inlineStr">
        <is>
          <t>micro_f1</t>
        </is>
      </c>
      <c r="H516" s="26" t="n">
        <v>0.3791553452600064</v>
      </c>
      <c r="I516" s="26" t="n"/>
      <c r="J516" s="26" t="n"/>
      <c r="M516" t="inlineStr">
        <is>
          <t>yes</t>
        </is>
      </c>
      <c r="N516" t="inlineStr"/>
      <c r="O516" s="24" t="inlineStr"/>
    </row>
    <row r="517">
      <c r="A517" t="inlineStr">
        <is>
          <t>R7.76</t>
        </is>
      </c>
      <c r="B517" t="inlineStr">
        <is>
          <t>sensitive</t>
        </is>
      </c>
      <c r="C517" s="24" t="inlineStr">
        <is>
          <t>hybrid_priority_readpass</t>
        </is>
      </c>
      <c r="D517" s="24" t="inlineStr">
        <is>
          <t>8 holdouts / fixed 1,000-doc latency sample</t>
        </is>
      </c>
      <c r="E517" t="inlineStr">
        <is>
          <t>T2</t>
        </is>
      </c>
      <c r="F517" s="25" t="n">
        <v>1000</v>
      </c>
      <c r="G517" t="inlineStr">
        <is>
          <t>peak_rss_mb</t>
        </is>
      </c>
      <c r="H517" s="26" t="n">
        <v>1000.8984375</v>
      </c>
      <c r="I517" s="26" t="n"/>
      <c r="J517" s="26" t="n"/>
      <c r="M517" t="inlineStr">
        <is>
          <t>no</t>
        </is>
      </c>
      <c r="N517" t="inlineStr"/>
      <c r="O517" s="24" t="inlineStr"/>
    </row>
    <row r="518">
      <c r="A518" t="inlineStr">
        <is>
          <t>R7.76</t>
        </is>
      </c>
      <c r="B518" t="inlineStr">
        <is>
          <t>sensitive</t>
        </is>
      </c>
      <c r="C518" s="24" t="inlineStr">
        <is>
          <t>hybrid_priority_readpass</t>
        </is>
      </c>
      <c r="D518" s="24" t="inlineStr">
        <is>
          <t>8 holdouts / fixed 1,000-doc latency sample</t>
        </is>
      </c>
      <c r="E518" t="inlineStr">
        <is>
          <t>T2</t>
        </is>
      </c>
      <c r="F518" s="25" t="n">
        <v>1000</v>
      </c>
      <c r="G518" t="inlineStr">
        <is>
          <t>priority_point_passes</t>
        </is>
      </c>
      <c r="H518" s="26" t="n">
        <v>55</v>
      </c>
      <c r="I518" s="26" t="n"/>
      <c r="J518" s="26" t="n"/>
      <c r="M518" t="inlineStr">
        <is>
          <t>yes</t>
        </is>
      </c>
      <c r="N518" t="inlineStr"/>
      <c r="O518" s="24" t="inlineStr"/>
    </row>
    <row r="519">
      <c r="A519" t="inlineStr">
        <is>
          <t>R7.76</t>
        </is>
      </c>
      <c r="B519" t="inlineStr">
        <is>
          <t>sensitive</t>
        </is>
      </c>
      <c r="C519" s="24" t="inlineStr">
        <is>
          <t>hybrid_priority_readpass</t>
        </is>
      </c>
      <c r="D519" s="24" t="inlineStr">
        <is>
          <t>8 holdouts / fixed 1,000-doc latency sample</t>
        </is>
      </c>
      <c r="E519" t="inlineStr">
        <is>
          <t>T2</t>
        </is>
      </c>
      <c r="F519" s="25" t="n">
        <v>1000</v>
      </c>
      <c r="G519" t="inlineStr">
        <is>
          <t>worst_priority_recall</t>
        </is>
      </c>
      <c r="H519" s="26" t="n">
        <v>0.9966329966329966</v>
      </c>
      <c r="I519" s="26" t="n"/>
      <c r="J519" s="26" t="n"/>
      <c r="M519" t="inlineStr">
        <is>
          <t>yes</t>
        </is>
      </c>
      <c r="N519" t="inlineStr"/>
      <c r="O519" s="24" t="inlineStr"/>
    </row>
    <row r="520">
      <c r="A520" t="inlineStr">
        <is>
          <t>R7.77</t>
        </is>
      </c>
      <c r="B520" t="inlineStr">
        <is>
          <t>sensitive</t>
        </is>
      </c>
      <c r="C520" s="24" t="inlineStr">
        <is>
          <t>hybrid_priority_readpass</t>
        </is>
      </c>
      <c r="D520" s="24" t="inlineStr">
        <is>
          <t>8 holdouts / fixed 1,000-doc latency sample</t>
        </is>
      </c>
      <c r="E520" t="inlineStr">
        <is>
          <t>T2</t>
        </is>
      </c>
      <c r="F520" s="25" t="n">
        <v>1000</v>
      </c>
      <c r="G520" t="inlineStr">
        <is>
          <t>docs_per_s</t>
        </is>
      </c>
      <c r="H520" s="26" t="n">
        <v>354.3524396316972</v>
      </c>
      <c r="I520" s="26" t="n"/>
      <c r="J520" s="26" t="n"/>
      <c r="M520" t="inlineStr">
        <is>
          <t>yes</t>
        </is>
      </c>
      <c r="N520" t="inlineStr"/>
      <c r="O520" s="24" t="inlineStr"/>
    </row>
    <row r="521">
      <c r="A521" t="inlineStr">
        <is>
          <t>R7.77</t>
        </is>
      </c>
      <c r="B521" t="inlineStr">
        <is>
          <t>sensitive</t>
        </is>
      </c>
      <c r="C521" s="24" t="inlineStr">
        <is>
          <t>hybrid_priority_readpass</t>
        </is>
      </c>
      <c r="D521" s="24" t="inlineStr">
        <is>
          <t>8 holdouts / fixed 1,000-doc latency sample</t>
        </is>
      </c>
      <c r="E521" t="inlineStr">
        <is>
          <t>T2</t>
        </is>
      </c>
      <c r="F521" s="25" t="n">
        <v>1000</v>
      </c>
      <c r="G521" t="inlineStr">
        <is>
          <t>latency_p50_ms</t>
        </is>
      </c>
      <c r="H521" s="26" t="n">
        <v>1.064261</v>
      </c>
      <c r="I521" s="26" t="n"/>
      <c r="J521" s="26" t="n"/>
      <c r="M521" t="inlineStr">
        <is>
          <t>no</t>
        </is>
      </c>
      <c r="N521" t="inlineStr"/>
      <c r="O521" s="24" t="inlineStr"/>
    </row>
    <row r="522">
      <c r="A522" t="inlineStr">
        <is>
          <t>R7.77</t>
        </is>
      </c>
      <c r="B522" t="inlineStr">
        <is>
          <t>sensitive</t>
        </is>
      </c>
      <c r="C522" s="24" t="inlineStr">
        <is>
          <t>hybrid_priority_readpass</t>
        </is>
      </c>
      <c r="D522" s="24" t="inlineStr">
        <is>
          <t>8 holdouts / fixed 1,000-doc latency sample</t>
        </is>
      </c>
      <c r="E522" t="inlineStr">
        <is>
          <t>T2</t>
        </is>
      </c>
      <c r="F522" s="25" t="n">
        <v>1000</v>
      </c>
      <c r="G522" t="inlineStr">
        <is>
          <t>latency_p95_ms</t>
        </is>
      </c>
      <c r="H522" s="26" t="n">
        <v>8.829448299999996</v>
      </c>
      <c r="I522" s="26" t="n"/>
      <c r="J522" s="26" t="n"/>
      <c r="M522" t="inlineStr">
        <is>
          <t>no</t>
        </is>
      </c>
      <c r="N522" t="inlineStr"/>
      <c r="O522" s="24" t="inlineStr"/>
    </row>
    <row r="523">
      <c r="A523" t="inlineStr">
        <is>
          <t>R7.77</t>
        </is>
      </c>
      <c r="B523" t="inlineStr">
        <is>
          <t>sensitive</t>
        </is>
      </c>
      <c r="C523" s="24" t="inlineStr">
        <is>
          <t>hybrid_priority_readpass</t>
        </is>
      </c>
      <c r="D523" s="24" t="inlineStr">
        <is>
          <t>8 holdouts / fixed 1,000-doc latency sample</t>
        </is>
      </c>
      <c r="E523" t="inlineStr">
        <is>
          <t>T2</t>
        </is>
      </c>
      <c r="F523" s="25" t="n">
        <v>1000</v>
      </c>
      <c r="G523" t="inlineStr">
        <is>
          <t>latency_p99_ms</t>
        </is>
      </c>
      <c r="H523" s="26" t="n">
        <v>11.88482826</v>
      </c>
      <c r="I523" s="26" t="n"/>
      <c r="J523" s="26" t="n"/>
      <c r="M523" t="inlineStr">
        <is>
          <t>no</t>
        </is>
      </c>
      <c r="N523" t="inlineStr"/>
      <c r="O523" s="24" t="inlineStr"/>
    </row>
    <row r="524">
      <c r="A524" t="inlineStr">
        <is>
          <t>R7.77</t>
        </is>
      </c>
      <c r="B524" t="inlineStr">
        <is>
          <t>sensitive</t>
        </is>
      </c>
      <c r="C524" s="24" t="inlineStr">
        <is>
          <t>hybrid_priority_readpass</t>
        </is>
      </c>
      <c r="D524" s="24" t="inlineStr">
        <is>
          <t>8 holdouts / fixed 1,000-doc latency sample</t>
        </is>
      </c>
      <c r="E524" t="inlineStr">
        <is>
          <t>T2</t>
        </is>
      </c>
      <c r="F524" s="25" t="n">
        <v>1000</v>
      </c>
      <c r="G524" t="inlineStr">
        <is>
          <t>macro_f2</t>
        </is>
      </c>
      <c r="H524" s="26" t="n">
        <v>0.4798440870612645</v>
      </c>
      <c r="I524" s="26" t="n"/>
      <c r="J524" s="26" t="n"/>
      <c r="M524" t="inlineStr">
        <is>
          <t>yes</t>
        </is>
      </c>
      <c r="N524" t="inlineStr">
        <is>
          <t>yes</t>
        </is>
      </c>
      <c r="O524" s="24" t="inlineStr"/>
    </row>
    <row r="525">
      <c r="A525" t="inlineStr">
        <is>
          <t>R7.77</t>
        </is>
      </c>
      <c r="B525" t="inlineStr">
        <is>
          <t>sensitive</t>
        </is>
      </c>
      <c r="C525" s="24" t="inlineStr">
        <is>
          <t>hybrid_priority_readpass</t>
        </is>
      </c>
      <c r="D525" s="24" t="inlineStr">
        <is>
          <t>8 holdouts / fixed 1,000-doc latency sample</t>
        </is>
      </c>
      <c r="E525" t="inlineStr">
        <is>
          <t>T2</t>
        </is>
      </c>
      <c r="F525" s="25" t="n">
        <v>1000</v>
      </c>
      <c r="G525" t="inlineStr">
        <is>
          <t>micro_f1</t>
        </is>
      </c>
      <c r="H525" s="26" t="n">
        <v>0.3791294478014162</v>
      </c>
      <c r="I525" s="26" t="n"/>
      <c r="J525" s="26" t="n"/>
      <c r="M525" t="inlineStr">
        <is>
          <t>yes</t>
        </is>
      </c>
      <c r="N525" t="inlineStr"/>
      <c r="O525" s="24" t="inlineStr"/>
    </row>
    <row r="526">
      <c r="A526" t="inlineStr">
        <is>
          <t>R7.77</t>
        </is>
      </c>
      <c r="B526" t="inlineStr">
        <is>
          <t>sensitive</t>
        </is>
      </c>
      <c r="C526" s="24" t="inlineStr">
        <is>
          <t>hybrid_priority_readpass</t>
        </is>
      </c>
      <c r="D526" s="24" t="inlineStr">
        <is>
          <t>8 holdouts / fixed 1,000-doc latency sample</t>
        </is>
      </c>
      <c r="E526" t="inlineStr">
        <is>
          <t>T2</t>
        </is>
      </c>
      <c r="F526" s="25" t="n">
        <v>1000</v>
      </c>
      <c r="G526" t="inlineStr">
        <is>
          <t>peak_rss_mb</t>
        </is>
      </c>
      <c r="H526" s="26" t="n">
        <v>1000.8984375</v>
      </c>
      <c r="I526" s="26" t="n"/>
      <c r="J526" s="26" t="n"/>
      <c r="M526" t="inlineStr">
        <is>
          <t>no</t>
        </is>
      </c>
      <c r="N526" t="inlineStr"/>
      <c r="O526" s="24" t="inlineStr"/>
    </row>
    <row r="527">
      <c r="A527" t="inlineStr">
        <is>
          <t>R7.77</t>
        </is>
      </c>
      <c r="B527" t="inlineStr">
        <is>
          <t>sensitive</t>
        </is>
      </c>
      <c r="C527" s="24" t="inlineStr">
        <is>
          <t>hybrid_priority_readpass</t>
        </is>
      </c>
      <c r="D527" s="24" t="inlineStr">
        <is>
          <t>8 holdouts / fixed 1,000-doc latency sample</t>
        </is>
      </c>
      <c r="E527" t="inlineStr">
        <is>
          <t>T2</t>
        </is>
      </c>
      <c r="F527" s="25" t="n">
        <v>1000</v>
      </c>
      <c r="G527" t="inlineStr">
        <is>
          <t>priority_point_passes</t>
        </is>
      </c>
      <c r="H527" s="26" t="n">
        <v>55</v>
      </c>
      <c r="I527" s="26" t="n"/>
      <c r="J527" s="26" t="n"/>
      <c r="M527" t="inlineStr">
        <is>
          <t>yes</t>
        </is>
      </c>
      <c r="N527" t="inlineStr"/>
      <c r="O527" s="24" t="inlineStr"/>
    </row>
    <row r="528">
      <c r="A528" t="inlineStr">
        <is>
          <t>R7.77</t>
        </is>
      </c>
      <c r="B528" t="inlineStr">
        <is>
          <t>sensitive</t>
        </is>
      </c>
      <c r="C528" s="24" t="inlineStr">
        <is>
          <t>hybrid_priority_readpass</t>
        </is>
      </c>
      <c r="D528" s="24" t="inlineStr">
        <is>
          <t>8 holdouts / fixed 1,000-doc latency sample</t>
        </is>
      </c>
      <c r="E528" t="inlineStr">
        <is>
          <t>T2</t>
        </is>
      </c>
      <c r="F528" s="25" t="n">
        <v>1000</v>
      </c>
      <c r="G528" t="inlineStr">
        <is>
          <t>worst_priority_recall</t>
        </is>
      </c>
      <c r="H528" s="26" t="n">
        <v>0.9966329966329966</v>
      </c>
      <c r="I528" s="26" t="n"/>
      <c r="J528" s="26" t="n"/>
      <c r="M528" t="inlineStr">
        <is>
          <t>yes</t>
        </is>
      </c>
      <c r="N528" t="inlineStr"/>
      <c r="O528" s="24" t="inlineStr"/>
    </row>
    <row r="529">
      <c r="A529" t="inlineStr">
        <is>
          <t>R7.78</t>
        </is>
      </c>
      <c r="B529" t="inlineStr">
        <is>
          <t>sensitive</t>
        </is>
      </c>
      <c r="C529" s="24" t="inlineStr">
        <is>
          <t>perlabel_v4</t>
        </is>
      </c>
      <c r="D529" s="24" t="inlineStr">
        <is>
          <t>4000_datax-dualjudge-evalset-1.32k</t>
        </is>
      </c>
      <c r="E529" t="inlineStr">
        <is>
          <t>T1</t>
        </is>
      </c>
      <c r="F529" s="25" t="n"/>
      <c r="G529" t="inlineStr">
        <is>
          <t>docs_per_s</t>
        </is>
      </c>
      <c r="H529" s="26" t="n">
        <v>3566.436814480545</v>
      </c>
      <c r="I529" s="26" t="n"/>
      <c r="J529" s="26" t="n"/>
      <c r="M529" t="inlineStr"/>
      <c r="N529" t="inlineStr"/>
      <c r="O529" s="24" t="inlineStr"/>
    </row>
    <row r="530">
      <c r="A530" t="inlineStr">
        <is>
          <t>R7.78</t>
        </is>
      </c>
      <c r="B530" t="inlineStr">
        <is>
          <t>sensitive</t>
        </is>
      </c>
      <c r="C530" s="24" t="inlineStr">
        <is>
          <t>perlabel_v4</t>
        </is>
      </c>
      <c r="D530" s="24" t="inlineStr">
        <is>
          <t>4000_datax-dualjudge-evalset-1.32k</t>
        </is>
      </c>
      <c r="E530" t="inlineStr">
        <is>
          <t>T1</t>
        </is>
      </c>
      <c r="F530" s="25" t="n"/>
      <c r="G530" t="inlineStr">
        <is>
          <t>macro_f2</t>
        </is>
      </c>
      <c r="H530" s="26" t="n"/>
      <c r="I530" s="26" t="n"/>
      <c r="J530" s="26" t="n"/>
      <c r="M530" t="inlineStr"/>
      <c r="N530" t="inlineStr"/>
      <c r="O530" s="24" t="inlineStr"/>
    </row>
    <row r="531">
      <c r="A531" t="inlineStr">
        <is>
          <t>R7.78</t>
        </is>
      </c>
      <c r="B531" t="inlineStr">
        <is>
          <t>sensitive</t>
        </is>
      </c>
      <c r="C531" s="24" t="inlineStr">
        <is>
          <t>perlabel_v4</t>
        </is>
      </c>
      <c r="D531" s="24" t="inlineStr">
        <is>
          <t>4000_datax-dualjudge-evalset-1.32k</t>
        </is>
      </c>
      <c r="E531" t="inlineStr">
        <is>
          <t>T1</t>
        </is>
      </c>
      <c r="F531" s="25" t="n"/>
      <c r="G531" t="inlineStr">
        <is>
          <t>micro_f1</t>
        </is>
      </c>
      <c r="H531" s="26" t="n"/>
      <c r="I531" s="26" t="n"/>
      <c r="J531" s="26" t="n"/>
      <c r="M531" t="inlineStr"/>
      <c r="N531" t="inlineStr"/>
      <c r="O531" s="24" t="inlineStr"/>
    </row>
    <row r="532">
      <c r="A532" t="inlineStr">
        <is>
          <t>R7.78</t>
        </is>
      </c>
      <c r="B532" t="inlineStr">
        <is>
          <t>sensitive</t>
        </is>
      </c>
      <c r="C532" s="24" t="inlineStr">
        <is>
          <t>perlabel_v4</t>
        </is>
      </c>
      <c r="D532" s="24" t="inlineStr">
        <is>
          <t>4000_datax-dualjudge-evalset-1.32k</t>
        </is>
      </c>
      <c r="E532" t="inlineStr">
        <is>
          <t>T1</t>
        </is>
      </c>
      <c r="F532" s="25" t="n"/>
      <c r="G532" t="inlineStr">
        <is>
          <t>priority_measurable</t>
        </is>
      </c>
      <c r="H532" s="26" t="n">
        <v>1</v>
      </c>
      <c r="I532" s="26" t="n"/>
      <c r="J532" s="26" t="n"/>
      <c r="M532" t="inlineStr"/>
      <c r="N532" t="inlineStr"/>
      <c r="O532" s="24" t="inlineStr"/>
    </row>
    <row r="533">
      <c r="A533" t="inlineStr">
        <is>
          <t>R7.78</t>
        </is>
      </c>
      <c r="B533" t="inlineStr">
        <is>
          <t>sensitive</t>
        </is>
      </c>
      <c r="C533" s="24" t="inlineStr">
        <is>
          <t>perlabel_v4</t>
        </is>
      </c>
      <c r="D533" s="24" t="inlineStr">
        <is>
          <t>4000_datax-dualjudge-evalset-1.32k</t>
        </is>
      </c>
      <c r="E533" t="inlineStr">
        <is>
          <t>T1</t>
        </is>
      </c>
      <c r="F533" s="25" t="n"/>
      <c r="G533" t="inlineStr">
        <is>
          <t>priority_point_passes</t>
        </is>
      </c>
      <c r="H533" s="26" t="n">
        <v>1</v>
      </c>
      <c r="I533" s="26" t="n"/>
      <c r="J533" s="26" t="n"/>
      <c r="M533" t="inlineStr"/>
      <c r="N533" t="inlineStr"/>
      <c r="O533" s="24" t="inlineStr"/>
    </row>
    <row r="534">
      <c r="A534" t="inlineStr">
        <is>
          <t>R7.78</t>
        </is>
      </c>
      <c r="B534" t="inlineStr">
        <is>
          <t>sensitive</t>
        </is>
      </c>
      <c r="C534" s="24" t="inlineStr">
        <is>
          <t>perlabel_v4</t>
        </is>
      </c>
      <c r="D534" s="24" t="inlineStr">
        <is>
          <t>4000_datax-dualjudge-evalset-1.32k</t>
        </is>
      </c>
      <c r="E534" t="inlineStr">
        <is>
          <t>T1</t>
        </is>
      </c>
      <c r="F534" s="25" t="n"/>
      <c r="G534" t="inlineStr">
        <is>
          <t>worst_priority_recall</t>
        </is>
      </c>
      <c r="H534" s="26" t="n">
        <v>1</v>
      </c>
      <c r="I534" s="26" t="n"/>
      <c r="J534" s="26" t="n"/>
      <c r="M534" t="inlineStr"/>
      <c r="N534" t="inlineStr"/>
      <c r="O534" s="24" t="inlineStr"/>
    </row>
    <row r="535">
      <c r="A535" t="inlineStr">
        <is>
          <t>R7.79</t>
        </is>
      </c>
      <c r="B535" t="inlineStr">
        <is>
          <t>sensitive</t>
        </is>
      </c>
      <c r="C535" s="24" t="inlineStr">
        <is>
          <t>perlabel_v4</t>
        </is>
      </c>
      <c r="D535" s="24" t="inlineStr">
        <is>
          <t>6589_govdocs2-dualjudge-eval20-3.53k</t>
        </is>
      </c>
      <c r="E535" t="inlineStr">
        <is>
          <t>T1</t>
        </is>
      </c>
      <c r="F535" s="25" t="n"/>
      <c r="G535" t="inlineStr">
        <is>
          <t>docs_per_s</t>
        </is>
      </c>
      <c r="H535" s="26" t="n">
        <v>4429.451790278901</v>
      </c>
      <c r="I535" s="26" t="n"/>
      <c r="J535" s="26" t="n"/>
      <c r="M535" t="inlineStr"/>
      <c r="N535" t="inlineStr"/>
      <c r="O535" s="24" t="inlineStr"/>
    </row>
    <row r="536">
      <c r="A536" t="inlineStr">
        <is>
          <t>R7.79</t>
        </is>
      </c>
      <c r="B536" t="inlineStr">
        <is>
          <t>sensitive</t>
        </is>
      </c>
      <c r="C536" s="24" t="inlineStr">
        <is>
          <t>perlabel_v4</t>
        </is>
      </c>
      <c r="D536" s="24" t="inlineStr">
        <is>
          <t>6589_govdocs2-dualjudge-eval20-3.53k</t>
        </is>
      </c>
      <c r="E536" t="inlineStr">
        <is>
          <t>T1</t>
        </is>
      </c>
      <c r="F536" s="25" t="n"/>
      <c r="G536" t="inlineStr">
        <is>
          <t>macro_f2</t>
        </is>
      </c>
      <c r="H536" s="26" t="n"/>
      <c r="I536" s="26" t="n"/>
      <c r="J536" s="26" t="n"/>
      <c r="M536" t="inlineStr"/>
      <c r="N536" t="inlineStr"/>
      <c r="O536" s="24" t="inlineStr"/>
    </row>
    <row r="537">
      <c r="A537" t="inlineStr">
        <is>
          <t>R7.79</t>
        </is>
      </c>
      <c r="B537" t="inlineStr">
        <is>
          <t>sensitive</t>
        </is>
      </c>
      <c r="C537" s="24" t="inlineStr">
        <is>
          <t>perlabel_v4</t>
        </is>
      </c>
      <c r="D537" s="24" t="inlineStr">
        <is>
          <t>6589_govdocs2-dualjudge-eval20-3.53k</t>
        </is>
      </c>
      <c r="E537" t="inlineStr">
        <is>
          <t>T1</t>
        </is>
      </c>
      <c r="F537" s="25" t="n"/>
      <c r="G537" t="inlineStr">
        <is>
          <t>micro_f1</t>
        </is>
      </c>
      <c r="H537" s="26" t="n"/>
      <c r="I537" s="26" t="n"/>
      <c r="J537" s="26" t="n"/>
      <c r="M537" t="inlineStr"/>
      <c r="N537" t="inlineStr"/>
      <c r="O537" s="24" t="inlineStr"/>
    </row>
    <row r="538">
      <c r="A538" t="inlineStr">
        <is>
          <t>R7.79</t>
        </is>
      </c>
      <c r="B538" t="inlineStr">
        <is>
          <t>sensitive</t>
        </is>
      </c>
      <c r="C538" s="24" t="inlineStr">
        <is>
          <t>perlabel_v4</t>
        </is>
      </c>
      <c r="D538" s="24" t="inlineStr">
        <is>
          <t>6589_govdocs2-dualjudge-eval20-3.53k</t>
        </is>
      </c>
      <c r="E538" t="inlineStr">
        <is>
          <t>T1</t>
        </is>
      </c>
      <c r="F538" s="25" t="n"/>
      <c r="G538" t="inlineStr">
        <is>
          <t>priority_measurable</t>
        </is>
      </c>
      <c r="H538" s="26" t="n">
        <v>2</v>
      </c>
      <c r="I538" s="26" t="n"/>
      <c r="J538" s="26" t="n"/>
      <c r="M538" t="inlineStr"/>
      <c r="N538" t="inlineStr"/>
      <c r="O538" s="24" t="inlineStr"/>
    </row>
    <row r="539">
      <c r="A539" t="inlineStr">
        <is>
          <t>R7.79</t>
        </is>
      </c>
      <c r="B539" t="inlineStr">
        <is>
          <t>sensitive</t>
        </is>
      </c>
      <c r="C539" s="24" t="inlineStr">
        <is>
          <t>perlabel_v4</t>
        </is>
      </c>
      <c r="D539" s="24" t="inlineStr">
        <is>
          <t>6589_govdocs2-dualjudge-eval20-3.53k</t>
        </is>
      </c>
      <c r="E539" t="inlineStr">
        <is>
          <t>T1</t>
        </is>
      </c>
      <c r="F539" s="25" t="n"/>
      <c r="G539" t="inlineStr">
        <is>
          <t>priority_point_passes</t>
        </is>
      </c>
      <c r="H539" s="26" t="n">
        <v>2</v>
      </c>
      <c r="I539" s="26" t="n"/>
      <c r="J539" s="26" t="n"/>
      <c r="M539" t="inlineStr"/>
      <c r="N539" t="inlineStr"/>
      <c r="O539" s="24" t="inlineStr"/>
    </row>
    <row r="540">
      <c r="A540" t="inlineStr">
        <is>
          <t>R7.79</t>
        </is>
      </c>
      <c r="B540" t="inlineStr">
        <is>
          <t>sensitive</t>
        </is>
      </c>
      <c r="C540" s="24" t="inlineStr">
        <is>
          <t>perlabel_v4</t>
        </is>
      </c>
      <c r="D540" s="24" t="inlineStr">
        <is>
          <t>6589_govdocs2-dualjudge-eval20-3.53k</t>
        </is>
      </c>
      <c r="E540" t="inlineStr">
        <is>
          <t>T1</t>
        </is>
      </c>
      <c r="F540" s="25" t="n"/>
      <c r="G540" t="inlineStr">
        <is>
          <t>worst_priority_recall</t>
        </is>
      </c>
      <c r="H540" s="26" t="n">
        <v>0.952099533437014</v>
      </c>
      <c r="I540" s="26" t="n"/>
      <c r="J540" s="26" t="n"/>
      <c r="M540" t="inlineStr"/>
      <c r="N540" t="inlineStr"/>
      <c r="O540" s="24" t="inlineStr"/>
    </row>
    <row r="541">
      <c r="A541" t="inlineStr">
        <is>
          <t>R7.80</t>
        </is>
      </c>
      <c r="B541" t="inlineStr">
        <is>
          <t>sensitive</t>
        </is>
      </c>
      <c r="C541" s="24" t="inlineStr">
        <is>
          <t>perlabel_v4</t>
        </is>
      </c>
      <c r="D541" s="24" t="inlineStr">
        <is>
          <t>ai4privacy_pii_masking_eval_10k</t>
        </is>
      </c>
      <c r="E541" t="inlineStr">
        <is>
          <t>T1</t>
        </is>
      </c>
      <c r="F541" s="25" t="n"/>
      <c r="G541" t="inlineStr">
        <is>
          <t>docs_per_s</t>
        </is>
      </c>
      <c r="H541" s="26" t="n">
        <v>16502.3474844501</v>
      </c>
      <c r="I541" s="26" t="n"/>
      <c r="J541" s="26" t="n"/>
      <c r="M541" t="inlineStr"/>
      <c r="N541" t="inlineStr"/>
      <c r="O541" s="24" t="inlineStr"/>
    </row>
    <row r="542">
      <c r="A542" t="inlineStr">
        <is>
          <t>R7.80</t>
        </is>
      </c>
      <c r="B542" t="inlineStr">
        <is>
          <t>sensitive</t>
        </is>
      </c>
      <c r="C542" s="24" t="inlineStr">
        <is>
          <t>perlabel_v4</t>
        </is>
      </c>
      <c r="D542" s="24" t="inlineStr">
        <is>
          <t>ai4privacy_pii_masking_eval_10k</t>
        </is>
      </c>
      <c r="E542" t="inlineStr">
        <is>
          <t>T1</t>
        </is>
      </c>
      <c r="F542" s="25" t="n"/>
      <c r="G542" t="inlineStr">
        <is>
          <t>macro_f2</t>
        </is>
      </c>
      <c r="H542" s="26" t="n">
        <v>0.5229377447284033</v>
      </c>
      <c r="I542" s="26" t="n"/>
      <c r="J542" s="26" t="n"/>
      <c r="M542" t="inlineStr"/>
      <c r="N542" t="inlineStr"/>
      <c r="O542" s="24" t="inlineStr"/>
    </row>
    <row r="543">
      <c r="A543" t="inlineStr">
        <is>
          <t>R7.80</t>
        </is>
      </c>
      <c r="B543" t="inlineStr">
        <is>
          <t>sensitive</t>
        </is>
      </c>
      <c r="C543" s="24" t="inlineStr">
        <is>
          <t>perlabel_v4</t>
        </is>
      </c>
      <c r="D543" s="24" t="inlineStr">
        <is>
          <t>ai4privacy_pii_masking_eval_10k</t>
        </is>
      </c>
      <c r="E543" t="inlineStr">
        <is>
          <t>T1</t>
        </is>
      </c>
      <c r="F543" s="25" t="n"/>
      <c r="G543" t="inlineStr">
        <is>
          <t>micro_f1</t>
        </is>
      </c>
      <c r="H543" s="26" t="n">
        <v>0.4036307769951832</v>
      </c>
      <c r="I543" s="26" t="n"/>
      <c r="J543" s="26" t="n"/>
      <c r="M543" t="inlineStr"/>
      <c r="N543" t="inlineStr">
        <is>
          <t>yes</t>
        </is>
      </c>
      <c r="O543" s="24" t="inlineStr"/>
    </row>
    <row r="544">
      <c r="A544" t="inlineStr">
        <is>
          <t>R7.80</t>
        </is>
      </c>
      <c r="B544" t="inlineStr">
        <is>
          <t>sensitive</t>
        </is>
      </c>
      <c r="C544" s="24" t="inlineStr">
        <is>
          <t>perlabel_v4</t>
        </is>
      </c>
      <c r="D544" s="24" t="inlineStr">
        <is>
          <t>ai4privacy_pii_masking_eval_10k</t>
        </is>
      </c>
      <c r="E544" t="inlineStr">
        <is>
          <t>T1</t>
        </is>
      </c>
      <c r="F544" s="25" t="n"/>
      <c r="G544" t="inlineStr">
        <is>
          <t>priority_measurable</t>
        </is>
      </c>
      <c r="H544" s="26" t="n">
        <v>10</v>
      </c>
      <c r="I544" s="26" t="n"/>
      <c r="J544" s="26" t="n"/>
      <c r="M544" t="inlineStr"/>
      <c r="N544" t="inlineStr"/>
      <c r="O544" s="24" t="inlineStr"/>
    </row>
    <row r="545">
      <c r="A545" t="inlineStr">
        <is>
          <t>R7.80</t>
        </is>
      </c>
      <c r="B545" t="inlineStr">
        <is>
          <t>sensitive</t>
        </is>
      </c>
      <c r="C545" s="24" t="inlineStr">
        <is>
          <t>perlabel_v4</t>
        </is>
      </c>
      <c r="D545" s="24" t="inlineStr">
        <is>
          <t>ai4privacy_pii_masking_eval_10k</t>
        </is>
      </c>
      <c r="E545" t="inlineStr">
        <is>
          <t>T1</t>
        </is>
      </c>
      <c r="F545" s="25" t="n"/>
      <c r="G545" t="inlineStr">
        <is>
          <t>priority_point_passes</t>
        </is>
      </c>
      <c r="H545" s="26" t="n">
        <v>10</v>
      </c>
      <c r="I545" s="26" t="n"/>
      <c r="J545" s="26" t="n"/>
      <c r="M545" t="inlineStr"/>
      <c r="N545" t="inlineStr"/>
      <c r="O545" s="24" t="inlineStr"/>
    </row>
    <row r="546">
      <c r="A546" t="inlineStr">
        <is>
          <t>R7.80</t>
        </is>
      </c>
      <c r="B546" t="inlineStr">
        <is>
          <t>sensitive</t>
        </is>
      </c>
      <c r="C546" s="24" t="inlineStr">
        <is>
          <t>perlabel_v4</t>
        </is>
      </c>
      <c r="D546" s="24" t="inlineStr">
        <is>
          <t>ai4privacy_pii_masking_eval_10k</t>
        </is>
      </c>
      <c r="E546" t="inlineStr">
        <is>
          <t>T1</t>
        </is>
      </c>
      <c r="F546" s="25" t="n"/>
      <c r="G546" t="inlineStr">
        <is>
          <t>worst_priority_recall</t>
        </is>
      </c>
      <c r="H546" s="26" t="n">
        <v>0.9500454132606722</v>
      </c>
      <c r="I546" s="26" t="n"/>
      <c r="J546" s="26" t="n"/>
      <c r="M546" t="inlineStr"/>
      <c r="N546" t="inlineStr"/>
      <c r="O546" s="24" t="inlineStr"/>
    </row>
    <row r="547">
      <c r="A547" t="inlineStr">
        <is>
          <t>R7.81</t>
        </is>
      </c>
      <c r="B547" t="inlineStr">
        <is>
          <t>sensitive</t>
        </is>
      </c>
      <c r="C547" s="24" t="inlineStr">
        <is>
          <t>perlabel_v4</t>
        </is>
      </c>
      <c r="D547" s="24" t="inlineStr">
        <is>
          <t>betterdataai_ner_silver_eval_10k</t>
        </is>
      </c>
      <c r="E547" t="inlineStr">
        <is>
          <t>T1</t>
        </is>
      </c>
      <c r="F547" s="25" t="n"/>
      <c r="G547" t="inlineStr">
        <is>
          <t>docs_per_s</t>
        </is>
      </c>
      <c r="H547" s="26" t="n">
        <v>12281.33522726598</v>
      </c>
      <c r="I547" s="26" t="n"/>
      <c r="J547" s="26" t="n"/>
      <c r="M547" t="inlineStr"/>
      <c r="N547" t="inlineStr"/>
      <c r="O547" s="24" t="inlineStr"/>
    </row>
    <row r="548">
      <c r="A548" t="inlineStr">
        <is>
          <t>R7.81</t>
        </is>
      </c>
      <c r="B548" t="inlineStr">
        <is>
          <t>sensitive</t>
        </is>
      </c>
      <c r="C548" s="24" t="inlineStr">
        <is>
          <t>perlabel_v4</t>
        </is>
      </c>
      <c r="D548" s="24" t="inlineStr">
        <is>
          <t>betterdataai_ner_silver_eval_10k</t>
        </is>
      </c>
      <c r="E548" t="inlineStr">
        <is>
          <t>T1</t>
        </is>
      </c>
      <c r="F548" s="25" t="n"/>
      <c r="G548" t="inlineStr">
        <is>
          <t>macro_f2</t>
        </is>
      </c>
      <c r="H548" s="26" t="n">
        <v>0.2318096354094719</v>
      </c>
      <c r="I548" s="26" t="n"/>
      <c r="J548" s="26" t="n"/>
      <c r="M548" t="inlineStr"/>
      <c r="N548" t="inlineStr"/>
      <c r="O548" s="24" t="inlineStr"/>
    </row>
    <row r="549">
      <c r="A549" t="inlineStr">
        <is>
          <t>R7.81</t>
        </is>
      </c>
      <c r="B549" t="inlineStr">
        <is>
          <t>sensitive</t>
        </is>
      </c>
      <c r="C549" s="24" t="inlineStr">
        <is>
          <t>perlabel_v4</t>
        </is>
      </c>
      <c r="D549" s="24" t="inlineStr">
        <is>
          <t>betterdataai_ner_silver_eval_10k</t>
        </is>
      </c>
      <c r="E549" t="inlineStr">
        <is>
          <t>T1</t>
        </is>
      </c>
      <c r="F549" s="25" t="n"/>
      <c r="G549" t="inlineStr">
        <is>
          <t>micro_f1</t>
        </is>
      </c>
      <c r="H549" s="26" t="n">
        <v>0.2681843944832798</v>
      </c>
      <c r="I549" s="26" t="n"/>
      <c r="J549" s="26" t="n"/>
      <c r="M549" t="inlineStr"/>
      <c r="N549" t="inlineStr">
        <is>
          <t>yes</t>
        </is>
      </c>
      <c r="O549" s="24" t="inlineStr"/>
    </row>
    <row r="550">
      <c r="A550" t="inlineStr">
        <is>
          <t>R7.81</t>
        </is>
      </c>
      <c r="B550" t="inlineStr">
        <is>
          <t>sensitive</t>
        </is>
      </c>
      <c r="C550" s="24" t="inlineStr">
        <is>
          <t>perlabel_v4</t>
        </is>
      </c>
      <c r="D550" s="24" t="inlineStr">
        <is>
          <t>betterdataai_ner_silver_eval_10k</t>
        </is>
      </c>
      <c r="E550" t="inlineStr">
        <is>
          <t>T1</t>
        </is>
      </c>
      <c r="F550" s="25" t="n"/>
      <c r="G550" t="inlineStr">
        <is>
          <t>priority_measurable</t>
        </is>
      </c>
      <c r="H550" s="26" t="n">
        <v>4</v>
      </c>
      <c r="I550" s="26" t="n"/>
      <c r="J550" s="26" t="n"/>
      <c r="M550" t="inlineStr"/>
      <c r="N550" t="inlineStr"/>
      <c r="O550" s="24" t="inlineStr"/>
    </row>
    <row r="551">
      <c r="A551" t="inlineStr">
        <is>
          <t>R7.81</t>
        </is>
      </c>
      <c r="B551" t="inlineStr">
        <is>
          <t>sensitive</t>
        </is>
      </c>
      <c r="C551" s="24" t="inlineStr">
        <is>
          <t>perlabel_v4</t>
        </is>
      </c>
      <c r="D551" s="24" t="inlineStr">
        <is>
          <t>betterdataai_ner_silver_eval_10k</t>
        </is>
      </c>
      <c r="E551" t="inlineStr">
        <is>
          <t>T1</t>
        </is>
      </c>
      <c r="F551" s="25" t="n"/>
      <c r="G551" t="inlineStr">
        <is>
          <t>priority_point_passes</t>
        </is>
      </c>
      <c r="H551" s="26" t="n">
        <v>4</v>
      </c>
      <c r="I551" s="26" t="n"/>
      <c r="J551" s="26" t="n"/>
      <c r="M551" t="inlineStr"/>
      <c r="N551" t="inlineStr"/>
      <c r="O551" s="24" t="inlineStr"/>
    </row>
    <row r="552">
      <c r="A552" t="inlineStr">
        <is>
          <t>R7.81</t>
        </is>
      </c>
      <c r="B552" t="inlineStr">
        <is>
          <t>sensitive</t>
        </is>
      </c>
      <c r="C552" s="24" t="inlineStr">
        <is>
          <t>perlabel_v4</t>
        </is>
      </c>
      <c r="D552" s="24" t="inlineStr">
        <is>
          <t>betterdataai_ner_silver_eval_10k</t>
        </is>
      </c>
      <c r="E552" t="inlineStr">
        <is>
          <t>T1</t>
        </is>
      </c>
      <c r="F552" s="25" t="n"/>
      <c r="G552" t="inlineStr">
        <is>
          <t>worst_priority_recall</t>
        </is>
      </c>
      <c r="H552" s="26" t="n">
        <v>0.98</v>
      </c>
      <c r="I552" s="26" t="n"/>
      <c r="J552" s="26" t="n"/>
      <c r="M552" t="inlineStr"/>
      <c r="N552" t="inlineStr"/>
      <c r="O552" s="24" t="inlineStr"/>
    </row>
    <row r="553">
      <c r="A553" t="inlineStr">
        <is>
          <t>R7.82</t>
        </is>
      </c>
      <c r="B553" t="inlineStr">
        <is>
          <t>sensitive</t>
        </is>
      </c>
      <c r="C553" s="24" t="inlineStr">
        <is>
          <t>perlabel_v4</t>
        </is>
      </c>
      <c r="D553" s="24" t="inlineStr">
        <is>
          <t>nemotron_eval_6k</t>
        </is>
      </c>
      <c r="E553" t="inlineStr">
        <is>
          <t>T1</t>
        </is>
      </c>
      <c r="F553" s="25" t="n"/>
      <c r="G553" t="inlineStr">
        <is>
          <t>docs_per_s</t>
        </is>
      </c>
      <c r="H553" s="26" t="n">
        <v>6978.459915616007</v>
      </c>
      <c r="I553" s="26" t="n"/>
      <c r="J553" s="26" t="n"/>
      <c r="M553" t="inlineStr"/>
      <c r="N553" t="inlineStr"/>
      <c r="O553" s="24" t="inlineStr"/>
    </row>
    <row r="554">
      <c r="A554" t="inlineStr">
        <is>
          <t>R7.82</t>
        </is>
      </c>
      <c r="B554" t="inlineStr">
        <is>
          <t>sensitive</t>
        </is>
      </c>
      <c r="C554" s="24" t="inlineStr">
        <is>
          <t>perlabel_v4</t>
        </is>
      </c>
      <c r="D554" s="24" t="inlineStr">
        <is>
          <t>nemotron_eval_6k</t>
        </is>
      </c>
      <c r="E554" t="inlineStr">
        <is>
          <t>T1</t>
        </is>
      </c>
      <c r="F554" s="25" t="n"/>
      <c r="G554" t="inlineStr">
        <is>
          <t>macro_f2</t>
        </is>
      </c>
      <c r="H554" s="26" t="n"/>
      <c r="I554" s="26" t="n"/>
      <c r="J554" s="26" t="n"/>
      <c r="M554" t="inlineStr"/>
      <c r="N554" t="inlineStr"/>
      <c r="O554" s="24" t="inlineStr"/>
    </row>
    <row r="555">
      <c r="A555" t="inlineStr">
        <is>
          <t>R7.82</t>
        </is>
      </c>
      <c r="B555" t="inlineStr">
        <is>
          <t>sensitive</t>
        </is>
      </c>
      <c r="C555" s="24" t="inlineStr">
        <is>
          <t>perlabel_v4</t>
        </is>
      </c>
      <c r="D555" s="24" t="inlineStr">
        <is>
          <t>nemotron_eval_6k</t>
        </is>
      </c>
      <c r="E555" t="inlineStr">
        <is>
          <t>T1</t>
        </is>
      </c>
      <c r="F555" s="25" t="n"/>
      <c r="G555" t="inlineStr">
        <is>
          <t>micro_f1</t>
        </is>
      </c>
      <c r="H555" s="26" t="n"/>
      <c r="I555" s="26" t="n"/>
      <c r="J555" s="26" t="n"/>
      <c r="M555" t="inlineStr"/>
      <c r="N555" t="inlineStr"/>
      <c r="O555" s="24" t="inlineStr"/>
    </row>
    <row r="556">
      <c r="A556" t="inlineStr">
        <is>
          <t>R7.82</t>
        </is>
      </c>
      <c r="B556" t="inlineStr">
        <is>
          <t>sensitive</t>
        </is>
      </c>
      <c r="C556" s="24" t="inlineStr">
        <is>
          <t>perlabel_v4</t>
        </is>
      </c>
      <c r="D556" s="24" t="inlineStr">
        <is>
          <t>nemotron_eval_6k</t>
        </is>
      </c>
      <c r="E556" t="inlineStr">
        <is>
          <t>T1</t>
        </is>
      </c>
      <c r="F556" s="25" t="n"/>
      <c r="G556" t="inlineStr">
        <is>
          <t>priority_measurable</t>
        </is>
      </c>
      <c r="H556" s="26" t="n">
        <v>0</v>
      </c>
      <c r="I556" s="26" t="n"/>
      <c r="J556" s="26" t="n"/>
      <c r="M556" t="inlineStr"/>
      <c r="N556" t="inlineStr"/>
      <c r="O556" s="24" t="inlineStr"/>
    </row>
    <row r="557">
      <c r="A557" t="inlineStr">
        <is>
          <t>R7.82</t>
        </is>
      </c>
      <c r="B557" t="inlineStr">
        <is>
          <t>sensitive</t>
        </is>
      </c>
      <c r="C557" s="24" t="inlineStr">
        <is>
          <t>perlabel_v4</t>
        </is>
      </c>
      <c r="D557" s="24" t="inlineStr">
        <is>
          <t>nemotron_eval_6k</t>
        </is>
      </c>
      <c r="E557" t="inlineStr">
        <is>
          <t>T1</t>
        </is>
      </c>
      <c r="F557" s="25" t="n"/>
      <c r="G557" t="inlineStr">
        <is>
          <t>priority_point_passes</t>
        </is>
      </c>
      <c r="H557" s="26" t="n">
        <v>0</v>
      </c>
      <c r="I557" s="26" t="n"/>
      <c r="J557" s="26" t="n"/>
      <c r="M557" t="inlineStr"/>
      <c r="N557" t="inlineStr"/>
      <c r="O557" s="24" t="inlineStr"/>
    </row>
    <row r="558">
      <c r="A558" t="inlineStr">
        <is>
          <t>R7.82</t>
        </is>
      </c>
      <c r="B558" t="inlineStr">
        <is>
          <t>sensitive</t>
        </is>
      </c>
      <c r="C558" s="24" t="inlineStr">
        <is>
          <t>perlabel_v4</t>
        </is>
      </c>
      <c r="D558" s="24" t="inlineStr">
        <is>
          <t>nemotron_eval_6k</t>
        </is>
      </c>
      <c r="E558" t="inlineStr">
        <is>
          <t>T1</t>
        </is>
      </c>
      <c r="F558" s="25" t="n"/>
      <c r="G558" t="inlineStr">
        <is>
          <t>worst_priority_recall</t>
        </is>
      </c>
      <c r="H558" s="26" t="n"/>
      <c r="I558" s="26" t="n"/>
      <c r="J558" s="26" t="n"/>
      <c r="M558" t="inlineStr"/>
      <c r="N558" t="inlineStr"/>
      <c r="O558" s="24" t="inlineStr"/>
    </row>
    <row r="559">
      <c r="A559" t="inlineStr">
        <is>
          <t>R7.83</t>
        </is>
      </c>
      <c r="B559" t="inlineStr">
        <is>
          <t>sensitive</t>
        </is>
      </c>
      <c r="C559" s="24" t="inlineStr">
        <is>
          <t>perlabel_v4</t>
        </is>
      </c>
      <c r="D559" s="24" t="inlineStr">
        <is>
          <t>openpii_pii_eval_38k</t>
        </is>
      </c>
      <c r="E559" t="inlineStr">
        <is>
          <t>T1</t>
        </is>
      </c>
      <c r="F559" s="25" t="n"/>
      <c r="G559" t="inlineStr">
        <is>
          <t>docs_per_s</t>
        </is>
      </c>
      <c r="H559" s="26" t="n">
        <v>10123.78534371086</v>
      </c>
      <c r="I559" s="26" t="n"/>
      <c r="J559" s="26" t="n"/>
      <c r="M559" t="inlineStr"/>
      <c r="N559" t="inlineStr"/>
      <c r="O559" s="24" t="inlineStr"/>
    </row>
    <row r="560">
      <c r="A560" t="inlineStr">
        <is>
          <t>R7.83</t>
        </is>
      </c>
      <c r="B560" t="inlineStr">
        <is>
          <t>sensitive</t>
        </is>
      </c>
      <c r="C560" s="24" t="inlineStr">
        <is>
          <t>perlabel_v4</t>
        </is>
      </c>
      <c r="D560" s="24" t="inlineStr">
        <is>
          <t>openpii_pii_eval_38k</t>
        </is>
      </c>
      <c r="E560" t="inlineStr">
        <is>
          <t>T1</t>
        </is>
      </c>
      <c r="F560" s="25" t="n"/>
      <c r="G560" t="inlineStr">
        <is>
          <t>macro_f2</t>
        </is>
      </c>
      <c r="H560" s="26" t="n">
        <v>0.6394953236006559</v>
      </c>
      <c r="I560" s="26" t="n"/>
      <c r="J560" s="26" t="n"/>
      <c r="M560" t="inlineStr"/>
      <c r="N560" t="inlineStr"/>
      <c r="O560" s="24" t="inlineStr"/>
    </row>
    <row r="561">
      <c r="A561" t="inlineStr">
        <is>
          <t>R7.83</t>
        </is>
      </c>
      <c r="B561" t="inlineStr">
        <is>
          <t>sensitive</t>
        </is>
      </c>
      <c r="C561" s="24" t="inlineStr">
        <is>
          <t>perlabel_v4</t>
        </is>
      </c>
      <c r="D561" s="24" t="inlineStr">
        <is>
          <t>openpii_pii_eval_38k</t>
        </is>
      </c>
      <c r="E561" t="inlineStr">
        <is>
          <t>T1</t>
        </is>
      </c>
      <c r="F561" s="25" t="n"/>
      <c r="G561" t="inlineStr">
        <is>
          <t>micro_f1</t>
        </is>
      </c>
      <c r="H561" s="26" t="n">
        <v>0.6891550535974732</v>
      </c>
      <c r="I561" s="26" t="n"/>
      <c r="J561" s="26" t="n"/>
      <c r="M561" t="inlineStr"/>
      <c r="N561" t="inlineStr">
        <is>
          <t>yes</t>
        </is>
      </c>
      <c r="O561" s="24" t="inlineStr"/>
    </row>
    <row r="562">
      <c r="A562" t="inlineStr">
        <is>
          <t>R7.83</t>
        </is>
      </c>
      <c r="B562" t="inlineStr">
        <is>
          <t>sensitive</t>
        </is>
      </c>
      <c r="C562" s="24" t="inlineStr">
        <is>
          <t>perlabel_v4</t>
        </is>
      </c>
      <c r="D562" s="24" t="inlineStr">
        <is>
          <t>openpii_pii_eval_38k</t>
        </is>
      </c>
      <c r="E562" t="inlineStr">
        <is>
          <t>T1</t>
        </is>
      </c>
      <c r="F562" s="25" t="n"/>
      <c r="G562" t="inlineStr">
        <is>
          <t>priority_measurable</t>
        </is>
      </c>
      <c r="H562" s="26" t="n">
        <v>9</v>
      </c>
      <c r="I562" s="26" t="n"/>
      <c r="J562" s="26" t="n"/>
      <c r="M562" t="inlineStr"/>
      <c r="N562" t="inlineStr"/>
      <c r="O562" s="24" t="inlineStr"/>
    </row>
    <row r="563">
      <c r="A563" t="inlineStr">
        <is>
          <t>R7.83</t>
        </is>
      </c>
      <c r="B563" t="inlineStr">
        <is>
          <t>sensitive</t>
        </is>
      </c>
      <c r="C563" s="24" t="inlineStr">
        <is>
          <t>perlabel_v4</t>
        </is>
      </c>
      <c r="D563" s="24" t="inlineStr">
        <is>
          <t>openpii_pii_eval_38k</t>
        </is>
      </c>
      <c r="E563" t="inlineStr">
        <is>
          <t>T1</t>
        </is>
      </c>
      <c r="F563" s="25" t="n"/>
      <c r="G563" t="inlineStr">
        <is>
          <t>priority_point_passes</t>
        </is>
      </c>
      <c r="H563" s="26" t="n">
        <v>9</v>
      </c>
      <c r="I563" s="26" t="n"/>
      <c r="J563" s="26" t="n"/>
      <c r="M563" t="inlineStr"/>
      <c r="N563" t="inlineStr"/>
      <c r="O563" s="24" t="inlineStr"/>
    </row>
    <row r="564">
      <c r="A564" t="inlineStr">
        <is>
          <t>R7.83</t>
        </is>
      </c>
      <c r="B564" t="inlineStr">
        <is>
          <t>sensitive</t>
        </is>
      </c>
      <c r="C564" s="24" t="inlineStr">
        <is>
          <t>perlabel_v4</t>
        </is>
      </c>
      <c r="D564" s="24" t="inlineStr">
        <is>
          <t>openpii_pii_eval_38k</t>
        </is>
      </c>
      <c r="E564" t="inlineStr">
        <is>
          <t>T1</t>
        </is>
      </c>
      <c r="F564" s="25" t="n"/>
      <c r="G564" t="inlineStr">
        <is>
          <t>worst_priority_recall</t>
        </is>
      </c>
      <c r="H564" s="26" t="n">
        <v>0.9796205200281096</v>
      </c>
      <c r="I564" s="26" t="n"/>
      <c r="J564" s="26" t="n"/>
      <c r="M564" t="inlineStr"/>
      <c r="N564" t="inlineStr"/>
      <c r="O564" s="24" t="inlineStr"/>
    </row>
    <row r="565">
      <c r="A565" t="inlineStr">
        <is>
          <t>R7.84</t>
        </is>
      </c>
      <c r="B565" t="inlineStr">
        <is>
          <t>sensitive</t>
        </is>
      </c>
      <c r="C565" s="24" t="inlineStr">
        <is>
          <t>perlabel_v4</t>
        </is>
      </c>
      <c r="D565" s="24" t="inlineStr">
        <is>
          <t>pii2_eval_30k</t>
        </is>
      </c>
      <c r="E565" t="inlineStr">
        <is>
          <t>T1</t>
        </is>
      </c>
      <c r="F565" s="25" t="n"/>
      <c r="G565" t="inlineStr">
        <is>
          <t>docs_per_s</t>
        </is>
      </c>
      <c r="H565" s="26" t="n">
        <v>4715.026600831448</v>
      </c>
      <c r="I565" s="26" t="n"/>
      <c r="J565" s="26" t="n"/>
      <c r="M565" t="inlineStr"/>
      <c r="N565" t="inlineStr"/>
      <c r="O565" s="24" t="inlineStr"/>
    </row>
    <row r="566">
      <c r="A566" t="inlineStr">
        <is>
          <t>R7.84</t>
        </is>
      </c>
      <c r="B566" t="inlineStr">
        <is>
          <t>sensitive</t>
        </is>
      </c>
      <c r="C566" s="24" t="inlineStr">
        <is>
          <t>perlabel_v4</t>
        </is>
      </c>
      <c r="D566" s="24" t="inlineStr">
        <is>
          <t>pii2_eval_30k</t>
        </is>
      </c>
      <c r="E566" t="inlineStr">
        <is>
          <t>T1</t>
        </is>
      </c>
      <c r="F566" s="25" t="n"/>
      <c r="G566" t="inlineStr">
        <is>
          <t>macro_f2</t>
        </is>
      </c>
      <c r="H566" s="26" t="n">
        <v>0.4980237712072972</v>
      </c>
      <c r="I566" s="26" t="n"/>
      <c r="J566" s="26" t="n"/>
      <c r="M566" t="inlineStr"/>
      <c r="N566" t="inlineStr"/>
      <c r="O566" s="24" t="inlineStr"/>
    </row>
    <row r="567">
      <c r="A567" t="inlineStr">
        <is>
          <t>R7.84</t>
        </is>
      </c>
      <c r="B567" t="inlineStr">
        <is>
          <t>sensitive</t>
        </is>
      </c>
      <c r="C567" s="24" t="inlineStr">
        <is>
          <t>perlabel_v4</t>
        </is>
      </c>
      <c r="D567" s="24" t="inlineStr">
        <is>
          <t>pii2_eval_30k</t>
        </is>
      </c>
      <c r="E567" t="inlineStr">
        <is>
          <t>T1</t>
        </is>
      </c>
      <c r="F567" s="25" t="n"/>
      <c r="G567" t="inlineStr">
        <is>
          <t>micro_f1</t>
        </is>
      </c>
      <c r="H567" s="26" t="n">
        <v>0.2489928942830843</v>
      </c>
      <c r="I567" s="26" t="n"/>
      <c r="J567" s="26" t="n"/>
      <c r="M567" t="inlineStr"/>
      <c r="N567" t="inlineStr">
        <is>
          <t>yes</t>
        </is>
      </c>
      <c r="O567" s="24" t="inlineStr"/>
    </row>
    <row r="568">
      <c r="A568" t="inlineStr">
        <is>
          <t>R7.84</t>
        </is>
      </c>
      <c r="B568" t="inlineStr">
        <is>
          <t>sensitive</t>
        </is>
      </c>
      <c r="C568" s="24" t="inlineStr">
        <is>
          <t>perlabel_v4</t>
        </is>
      </c>
      <c r="D568" s="24" t="inlineStr">
        <is>
          <t>pii2_eval_30k</t>
        </is>
      </c>
      <c r="E568" t="inlineStr">
        <is>
          <t>T1</t>
        </is>
      </c>
      <c r="F568" s="25" t="n"/>
      <c r="G568" t="inlineStr">
        <is>
          <t>priority_measurable</t>
        </is>
      </c>
      <c r="H568" s="26" t="n">
        <v>15</v>
      </c>
      <c r="I568" s="26" t="n"/>
      <c r="J568" s="26" t="n"/>
      <c r="M568" t="inlineStr"/>
      <c r="N568" t="inlineStr"/>
      <c r="O568" s="24" t="inlineStr"/>
    </row>
    <row r="569">
      <c r="A569" t="inlineStr">
        <is>
          <t>R7.84</t>
        </is>
      </c>
      <c r="B569" t="inlineStr">
        <is>
          <t>sensitive</t>
        </is>
      </c>
      <c r="C569" s="24" t="inlineStr">
        <is>
          <t>perlabel_v4</t>
        </is>
      </c>
      <c r="D569" s="24" t="inlineStr">
        <is>
          <t>pii2_eval_30k</t>
        </is>
      </c>
      <c r="E569" t="inlineStr">
        <is>
          <t>T1</t>
        </is>
      </c>
      <c r="F569" s="25" t="n"/>
      <c r="G569" t="inlineStr">
        <is>
          <t>priority_point_passes</t>
        </is>
      </c>
      <c r="H569" s="26" t="n">
        <v>15</v>
      </c>
      <c r="I569" s="26" t="n"/>
      <c r="J569" s="26" t="n"/>
      <c r="M569" t="inlineStr"/>
      <c r="N569" t="inlineStr"/>
      <c r="O569" s="24" t="inlineStr"/>
    </row>
    <row r="570">
      <c r="A570" t="inlineStr">
        <is>
          <t>R7.84</t>
        </is>
      </c>
      <c r="B570" t="inlineStr">
        <is>
          <t>sensitive</t>
        </is>
      </c>
      <c r="C570" s="24" t="inlineStr">
        <is>
          <t>perlabel_v4</t>
        </is>
      </c>
      <c r="D570" s="24" t="inlineStr">
        <is>
          <t>pii2_eval_30k</t>
        </is>
      </c>
      <c r="E570" t="inlineStr">
        <is>
          <t>T1</t>
        </is>
      </c>
      <c r="F570" s="25" t="n"/>
      <c r="G570" t="inlineStr">
        <is>
          <t>worst_priority_recall</t>
        </is>
      </c>
      <c r="H570" s="26" t="n">
        <v>0.9819409778299809</v>
      </c>
      <c r="I570" s="26" t="n"/>
      <c r="J570" s="26" t="n"/>
      <c r="M570" t="inlineStr"/>
      <c r="N570" t="inlineStr"/>
      <c r="O570" s="24" t="inlineStr"/>
    </row>
    <row r="571">
      <c r="A571" t="inlineStr">
        <is>
          <t>R7.85</t>
        </is>
      </c>
      <c r="B571" t="inlineStr">
        <is>
          <t>sensitive</t>
        </is>
      </c>
      <c r="C571" s="24" t="inlineStr">
        <is>
          <t>perlabel_v4</t>
        </is>
      </c>
      <c r="D571" s="24" t="inlineStr">
        <is>
          <t>pii_holdout_20k</t>
        </is>
      </c>
      <c r="E571" t="inlineStr">
        <is>
          <t>T1</t>
        </is>
      </c>
      <c r="F571" s="25" t="n"/>
      <c r="G571" t="inlineStr">
        <is>
          <t>docs_per_s</t>
        </is>
      </c>
      <c r="H571" s="26" t="n">
        <v>5013.706521009928</v>
      </c>
      <c r="I571" s="26" t="n"/>
      <c r="J571" s="26" t="n"/>
      <c r="M571" t="inlineStr"/>
      <c r="N571" t="inlineStr"/>
      <c r="O571" s="24" t="inlineStr"/>
    </row>
    <row r="572">
      <c r="A572" t="inlineStr">
        <is>
          <t>R7.85</t>
        </is>
      </c>
      <c r="B572" t="inlineStr">
        <is>
          <t>sensitive</t>
        </is>
      </c>
      <c r="C572" s="24" t="inlineStr">
        <is>
          <t>perlabel_v4</t>
        </is>
      </c>
      <c r="D572" s="24" t="inlineStr">
        <is>
          <t>pii_holdout_20k</t>
        </is>
      </c>
      <c r="E572" t="inlineStr">
        <is>
          <t>T1</t>
        </is>
      </c>
      <c r="F572" s="25" t="n"/>
      <c r="G572" t="inlineStr">
        <is>
          <t>macro_f2</t>
        </is>
      </c>
      <c r="H572" s="26" t="n">
        <v>0.573599297016263</v>
      </c>
      <c r="I572" s="26" t="n"/>
      <c r="J572" s="26" t="n"/>
      <c r="M572" t="inlineStr"/>
      <c r="N572" t="inlineStr"/>
      <c r="O572" s="24" t="inlineStr"/>
    </row>
    <row r="573">
      <c r="A573" t="inlineStr">
        <is>
          <t>R7.85</t>
        </is>
      </c>
      <c r="B573" t="inlineStr">
        <is>
          <t>sensitive</t>
        </is>
      </c>
      <c r="C573" s="24" t="inlineStr">
        <is>
          <t>perlabel_v4</t>
        </is>
      </c>
      <c r="D573" s="24" t="inlineStr">
        <is>
          <t>pii_holdout_20k</t>
        </is>
      </c>
      <c r="E573" t="inlineStr">
        <is>
          <t>T1</t>
        </is>
      </c>
      <c r="F573" s="25" t="n"/>
      <c r="G573" t="inlineStr">
        <is>
          <t>micro_f1</t>
        </is>
      </c>
      <c r="H573" s="26" t="n">
        <v>0.514589678199742</v>
      </c>
      <c r="I573" s="26" t="n"/>
      <c r="J573" s="26" t="n"/>
      <c r="M573" t="inlineStr"/>
      <c r="N573" t="inlineStr">
        <is>
          <t>yes</t>
        </is>
      </c>
      <c r="O573" s="24" t="inlineStr"/>
    </row>
    <row r="574">
      <c r="A574" t="inlineStr">
        <is>
          <t>R7.85</t>
        </is>
      </c>
      <c r="B574" t="inlineStr">
        <is>
          <t>sensitive</t>
        </is>
      </c>
      <c r="C574" s="24" t="inlineStr">
        <is>
          <t>perlabel_v4</t>
        </is>
      </c>
      <c r="D574" s="24" t="inlineStr">
        <is>
          <t>pii_holdout_20k</t>
        </is>
      </c>
      <c r="E574" t="inlineStr">
        <is>
          <t>T1</t>
        </is>
      </c>
      <c r="F574" s="25" t="n"/>
      <c r="G574" t="inlineStr">
        <is>
          <t>priority_measurable</t>
        </is>
      </c>
      <c r="H574" s="26" t="n">
        <v>14</v>
      </c>
      <c r="I574" s="26" t="n"/>
      <c r="J574" s="26" t="n"/>
      <c r="M574" t="inlineStr"/>
      <c r="N574" t="inlineStr"/>
      <c r="O574" s="24" t="inlineStr"/>
    </row>
    <row r="575">
      <c r="A575" t="inlineStr">
        <is>
          <t>R7.85</t>
        </is>
      </c>
      <c r="B575" t="inlineStr">
        <is>
          <t>sensitive</t>
        </is>
      </c>
      <c r="C575" s="24" t="inlineStr">
        <is>
          <t>perlabel_v4</t>
        </is>
      </c>
      <c r="D575" s="24" t="inlineStr">
        <is>
          <t>pii_holdout_20k</t>
        </is>
      </c>
      <c r="E575" t="inlineStr">
        <is>
          <t>T1</t>
        </is>
      </c>
      <c r="F575" s="25" t="n"/>
      <c r="G575" t="inlineStr">
        <is>
          <t>priority_point_passes</t>
        </is>
      </c>
      <c r="H575" s="26" t="n">
        <v>14</v>
      </c>
      <c r="I575" s="26" t="n"/>
      <c r="J575" s="26" t="n"/>
      <c r="M575" t="inlineStr"/>
      <c r="N575" t="inlineStr"/>
      <c r="O575" s="24" t="inlineStr"/>
    </row>
    <row r="576">
      <c r="A576" t="inlineStr">
        <is>
          <t>R7.85</t>
        </is>
      </c>
      <c r="B576" t="inlineStr">
        <is>
          <t>sensitive</t>
        </is>
      </c>
      <c r="C576" s="24" t="inlineStr">
        <is>
          <t>perlabel_v4</t>
        </is>
      </c>
      <c r="D576" s="24" t="inlineStr">
        <is>
          <t>pii_holdout_20k</t>
        </is>
      </c>
      <c r="E576" t="inlineStr">
        <is>
          <t>T1</t>
        </is>
      </c>
      <c r="F576" s="25" t="n"/>
      <c r="G576" t="inlineStr">
        <is>
          <t>worst_priority_recall</t>
        </is>
      </c>
      <c r="H576" s="26" t="n">
        <v>0.9463276836158192</v>
      </c>
      <c r="I576" s="26" t="n"/>
      <c r="J576" s="26" t="n"/>
      <c r="M576" t="inlineStr"/>
      <c r="N576" t="inlineStr"/>
      <c r="O576" s="24" t="inlineStr"/>
    </row>
  </sheetData>
  <autoFilter ref="A30:O57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30" customWidth="1" min="3" max="3"/>
    <col width="26" customWidth="1" min="4" max="4"/>
    <col width="7" customWidth="1" min="5" max="5"/>
    <col width="52" customWidth="1" min="6" max="6"/>
    <col width="12" customWidth="1" min="7" max="7"/>
    <col width="12" customWidth="1" min="8" max="8"/>
    <col width="18" customWidth="1" min="9" max="9"/>
    <col width="10" customWidth="1" min="10" max="10"/>
    <col width="14" customWidth="1" min="11" max="11"/>
    <col width="11" customWidth="1" min="12" max="12"/>
    <col width="11" customWidth="1" min="13" max="13"/>
    <col width="10" customWidth="1" min="14" max="14"/>
    <col width="10" customWidth="1" min="15" max="15"/>
    <col width="11" customWidth="1" min="16" max="16"/>
  </cols>
  <sheetData>
    <row r="1" ht="30" customHeight="1">
      <c r="A1" s="1" t="inlineStr">
        <is>
          <t>Run ID</t>
        </is>
      </c>
      <c r="B1" s="1" t="inlineStr">
        <is>
          <t>Track</t>
        </is>
      </c>
      <c r="C1" s="1" t="inlineStr">
        <is>
          <t>Model</t>
        </is>
      </c>
      <c r="D1" s="1" t="inlineStr">
        <is>
          <t>Dataset</t>
        </is>
      </c>
      <c r="E1" s="1" t="inlineStr">
        <is>
          <t>Tier</t>
        </is>
      </c>
      <c r="F1" s="1" t="inlineStr">
        <is>
          <t>Tag</t>
        </is>
      </c>
      <c r="G1" s="1" t="inlineStr">
        <is>
          <t>Gold Seen</t>
        </is>
      </c>
      <c r="H1" s="1" t="inlineStr">
        <is>
          <t>Predicted</t>
        </is>
      </c>
      <c r="I1" s="1" t="inlineStr">
        <is>
          <t>True Positive Found</t>
        </is>
      </c>
      <c r="J1" s="1" t="inlineStr">
        <is>
          <t>Missed</t>
        </is>
      </c>
      <c r="K1" s="1" t="inlineStr">
        <is>
          <t>False Positive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</t>
        </is>
      </c>
      <c r="O1" s="1" t="inlineStr">
        <is>
          <t>F2</t>
        </is>
      </c>
      <c r="P1" s="1" t="inlineStr">
        <is>
          <t>Micro F1</t>
        </is>
      </c>
    </row>
    <row r="2">
      <c r="A2" t="inlineStr">
        <is>
          <t>R7.65</t>
        </is>
      </c>
      <c r="B2" t="inlineStr">
        <is>
          <t>sensitive</t>
        </is>
      </c>
      <c r="C2" s="24" t="inlineStr">
        <is>
          <t>champion_1k_bootstrap</t>
        </is>
      </c>
      <c r="D2" s="24" t="inlineStr">
        <is>
          <t>8 holdouts (5 complete for F2)</t>
        </is>
      </c>
      <c r="E2" t="inlineStr">
        <is>
          <t>T1</t>
        </is>
      </c>
      <c r="F2" s="24" t="inlineStr">
        <is>
          <t>4000_datax-dualjudge-evalset-1.32k / sensitive_pii_address</t>
        </is>
      </c>
      <c r="G2" s="25" t="n">
        <v>350</v>
      </c>
      <c r="H2" s="25" t="n">
        <v>3984</v>
      </c>
      <c r="I2" s="25" t="n">
        <v>350</v>
      </c>
      <c r="J2" s="25" t="n">
        <v>0</v>
      </c>
      <c r="K2" s="25" t="n"/>
      <c r="L2" s="26" t="n"/>
      <c r="M2" s="26" t="n">
        <v>1</v>
      </c>
      <c r="N2" s="26" t="n"/>
      <c r="O2" s="26" t="n"/>
      <c r="P2" s="26" t="n">
        <v>0.3811839608053426</v>
      </c>
    </row>
    <row r="3">
      <c r="A3" s="27" t="inlineStr">
        <is>
          <t>R7.65</t>
        </is>
      </c>
      <c r="B3" s="27" t="inlineStr">
        <is>
          <t>sensitive</t>
        </is>
      </c>
      <c r="C3" s="28" t="inlineStr">
        <is>
          <t>champion_1k_bootstrap</t>
        </is>
      </c>
      <c r="D3" s="28" t="inlineStr">
        <is>
          <t>8 holdouts (5 complete for F2)</t>
        </is>
      </c>
      <c r="E3" s="27" t="inlineStr">
        <is>
          <t>T1</t>
        </is>
      </c>
      <c r="F3" s="28" t="inlineStr">
        <is>
          <t>6589_govdocs2-dualjudge-eval20-3.53k / sensitive_pii_address</t>
        </is>
      </c>
      <c r="G3" s="29" t="n">
        <v>891</v>
      </c>
      <c r="H3" s="29" t="n">
        <v>6530</v>
      </c>
      <c r="I3" s="29" t="n">
        <v>881</v>
      </c>
      <c r="J3" s="29" t="n">
        <v>10</v>
      </c>
      <c r="K3" s="29" t="n"/>
      <c r="L3" s="30" t="n"/>
      <c r="M3" s="30" t="n">
        <v>0.9887766554433222</v>
      </c>
      <c r="N3" s="30" t="n"/>
      <c r="O3" s="30" t="n"/>
      <c r="P3" s="30" t="n">
        <v>0.3811839608053426</v>
      </c>
    </row>
    <row r="4">
      <c r="A4" t="inlineStr">
        <is>
          <t>R7.65</t>
        </is>
      </c>
      <c r="B4" t="inlineStr">
        <is>
          <t>sensitive</t>
        </is>
      </c>
      <c r="C4" s="24" t="inlineStr">
        <is>
          <t>champion_1k_bootstrap</t>
        </is>
      </c>
      <c r="D4" s="24" t="inlineStr">
        <is>
          <t>8 holdouts (5 complete for F2)</t>
        </is>
      </c>
      <c r="E4" t="inlineStr">
        <is>
          <t>T1</t>
        </is>
      </c>
      <c r="F4" s="24" t="inlineStr">
        <is>
          <t>6589_govdocs2-dualjudge-eval20-3.53k / sensitive_pii_full_name</t>
        </is>
      </c>
      <c r="G4" s="25" t="n">
        <v>3215</v>
      </c>
      <c r="H4" s="25" t="n">
        <v>6547</v>
      </c>
      <c r="I4" s="25" t="n">
        <v>3206</v>
      </c>
      <c r="J4" s="25" t="n">
        <v>9</v>
      </c>
      <c r="K4" s="25" t="n"/>
      <c r="L4" s="26" t="n"/>
      <c r="M4" s="26" t="n">
        <v>0.9972006220839813</v>
      </c>
      <c r="N4" s="26" t="n"/>
      <c r="O4" s="26" t="n"/>
      <c r="P4" s="26" t="n">
        <v>0.3811839608053426</v>
      </c>
    </row>
    <row r="5">
      <c r="A5" s="27" t="inlineStr">
        <is>
          <t>R7.65</t>
        </is>
      </c>
      <c r="B5" s="27" t="inlineStr">
        <is>
          <t>sensitive</t>
        </is>
      </c>
      <c r="C5" s="28" t="inlineStr">
        <is>
          <t>champion_1k_bootstrap</t>
        </is>
      </c>
      <c r="D5" s="28" t="inlineStr">
        <is>
          <t>8 holdouts (5 complete for F2)</t>
        </is>
      </c>
      <c r="E5" s="27" t="inlineStr">
        <is>
          <t>T1</t>
        </is>
      </c>
      <c r="F5" s="28" t="inlineStr">
        <is>
          <t>ai4privacy_pii_masking_eval_10k / sensitive_pci_bank_account_number</t>
        </is>
      </c>
      <c r="G5" s="29" t="n">
        <v>531</v>
      </c>
      <c r="H5" s="29" t="n">
        <v>6336</v>
      </c>
      <c r="I5" s="29" t="n">
        <v>531</v>
      </c>
      <c r="J5" s="29" t="n">
        <v>0</v>
      </c>
      <c r="K5" s="29" t="n">
        <v>5805</v>
      </c>
      <c r="L5" s="30" t="n">
        <v>0.08380681818181818</v>
      </c>
      <c r="M5" s="30" t="n">
        <v>1</v>
      </c>
      <c r="N5" s="30" t="n">
        <v>0.1546526867627785</v>
      </c>
      <c r="O5" s="30" t="n">
        <v>0.3138297872340425</v>
      </c>
      <c r="P5" s="30" t="n">
        <v>0.3811839608053426</v>
      </c>
    </row>
    <row r="6">
      <c r="A6" t="inlineStr">
        <is>
          <t>R7.65</t>
        </is>
      </c>
      <c r="B6" t="inlineStr">
        <is>
          <t>sensitive</t>
        </is>
      </c>
      <c r="C6" s="24" t="inlineStr">
        <is>
          <t>champion_1k_bootstrap</t>
        </is>
      </c>
      <c r="D6" s="24" t="inlineStr">
        <is>
          <t>8 holdouts (5 complete for F2)</t>
        </is>
      </c>
      <c r="E6" t="inlineStr">
        <is>
          <t>T1</t>
        </is>
      </c>
      <c r="F6" s="24" t="inlineStr">
        <is>
          <t>ai4privacy_pii_masking_eval_10k / sensitive_pci_credit_card_number</t>
        </is>
      </c>
      <c r="G6" s="25" t="n">
        <v>524</v>
      </c>
      <c r="H6" s="25" t="n">
        <v>8738</v>
      </c>
      <c r="I6" s="25" t="n">
        <v>524</v>
      </c>
      <c r="J6" s="25" t="n">
        <v>0</v>
      </c>
      <c r="K6" s="25" t="n">
        <v>8214</v>
      </c>
      <c r="L6" s="26" t="n">
        <v>0.05996795605401694</v>
      </c>
      <c r="M6" s="26" t="n">
        <v>1</v>
      </c>
      <c r="N6" s="26" t="n">
        <v>0.1131505074497949</v>
      </c>
      <c r="O6" s="26" t="n">
        <v>0.2418312719217279</v>
      </c>
      <c r="P6" s="26" t="n">
        <v>0.3811839608053426</v>
      </c>
    </row>
    <row r="7">
      <c r="A7" s="27" t="inlineStr">
        <is>
          <t>R7.65</t>
        </is>
      </c>
      <c r="B7" s="27" t="inlineStr">
        <is>
          <t>sensitive</t>
        </is>
      </c>
      <c r="C7" s="28" t="inlineStr">
        <is>
          <t>champion_1k_bootstrap</t>
        </is>
      </c>
      <c r="D7" s="28" t="inlineStr">
        <is>
          <t>8 holdouts (5 complete for F2)</t>
        </is>
      </c>
      <c r="E7" s="27" t="inlineStr">
        <is>
          <t>T1</t>
        </is>
      </c>
      <c r="F7" s="28" t="inlineStr">
        <is>
          <t>ai4privacy_pii_masking_eval_10k / sensitive_pci_iban</t>
        </is>
      </c>
      <c r="G7" s="29" t="n">
        <v>431</v>
      </c>
      <c r="H7" s="29" t="n">
        <v>5401</v>
      </c>
      <c r="I7" s="29" t="n">
        <v>431</v>
      </c>
      <c r="J7" s="29" t="n">
        <v>0</v>
      </c>
      <c r="K7" s="29" t="n">
        <v>4970</v>
      </c>
      <c r="L7" s="30" t="n">
        <v>0.0798000370301796</v>
      </c>
      <c r="M7" s="30" t="n">
        <v>1</v>
      </c>
      <c r="N7" s="30" t="n">
        <v>0.1478052126200274</v>
      </c>
      <c r="O7" s="30" t="n">
        <v>0.3024561403508772</v>
      </c>
      <c r="P7" s="30" t="n">
        <v>0.3811839608053426</v>
      </c>
    </row>
    <row r="8">
      <c r="A8" t="inlineStr">
        <is>
          <t>R7.65</t>
        </is>
      </c>
      <c r="B8" t="inlineStr">
        <is>
          <t>sensitive</t>
        </is>
      </c>
      <c r="C8" s="24" t="inlineStr">
        <is>
          <t>champion_1k_bootstrap</t>
        </is>
      </c>
      <c r="D8" s="24" t="inlineStr">
        <is>
          <t>8 holdouts (5 complete for F2)</t>
        </is>
      </c>
      <c r="E8" t="inlineStr">
        <is>
          <t>T1</t>
        </is>
      </c>
      <c r="F8" s="24" t="inlineStr">
        <is>
          <t>ai4privacy_pii_masking_eval_10k / sensitive_pii_address</t>
        </is>
      </c>
      <c r="G8" s="25" t="n">
        <v>2529</v>
      </c>
      <c r="H8" s="25" t="n">
        <v>10585</v>
      </c>
      <c r="I8" s="25" t="n">
        <v>2529</v>
      </c>
      <c r="J8" s="25" t="n">
        <v>0</v>
      </c>
      <c r="K8" s="25" t="n">
        <v>8056</v>
      </c>
      <c r="L8" s="26" t="n">
        <v>0.238923004251299</v>
      </c>
      <c r="M8" s="26" t="n">
        <v>1</v>
      </c>
      <c r="N8" s="26" t="n">
        <v>0.385694677443953</v>
      </c>
      <c r="O8" s="26" t="n">
        <v>0.6108400560359403</v>
      </c>
      <c r="P8" s="26" t="n">
        <v>0.3811839608053426</v>
      </c>
    </row>
    <row r="9">
      <c r="A9" s="27" t="inlineStr">
        <is>
          <t>R7.65</t>
        </is>
      </c>
      <c r="B9" s="27" t="inlineStr">
        <is>
          <t>sensitive</t>
        </is>
      </c>
      <c r="C9" s="28" t="inlineStr">
        <is>
          <t>champion_1k_bootstrap</t>
        </is>
      </c>
      <c r="D9" s="28" t="inlineStr">
        <is>
          <t>8 holdouts (5 complete for F2)</t>
        </is>
      </c>
      <c r="E9" s="27" t="inlineStr">
        <is>
          <t>T1</t>
        </is>
      </c>
      <c r="F9" s="28" t="inlineStr">
        <is>
          <t>ai4privacy_pii_masking_eval_10k / sensitive_pii_driver_s_license_number</t>
        </is>
      </c>
      <c r="G9" s="29" t="n">
        <v>1101</v>
      </c>
      <c r="H9" s="29" t="n">
        <v>10340</v>
      </c>
      <c r="I9" s="29" t="n">
        <v>1101</v>
      </c>
      <c r="J9" s="29" t="n">
        <v>0</v>
      </c>
      <c r="K9" s="29" t="n">
        <v>9239</v>
      </c>
      <c r="L9" s="30" t="n">
        <v>0.1064796905222437</v>
      </c>
      <c r="M9" s="30" t="n">
        <v>1</v>
      </c>
      <c r="N9" s="30" t="n">
        <v>0.1924656935582554</v>
      </c>
      <c r="O9" s="30" t="n">
        <v>0.3733722192078133</v>
      </c>
      <c r="P9" s="30" t="n">
        <v>0.3811839608053426</v>
      </c>
    </row>
    <row r="10">
      <c r="A10" t="inlineStr">
        <is>
          <t>R7.65</t>
        </is>
      </c>
      <c r="B10" t="inlineStr">
        <is>
          <t>sensitive</t>
        </is>
      </c>
      <c r="C10" s="24" t="inlineStr">
        <is>
          <t>champion_1k_bootstrap</t>
        </is>
      </c>
      <c r="D10" s="24" t="inlineStr">
        <is>
          <t>8 holdouts (5 complete for F2)</t>
        </is>
      </c>
      <c r="E10" t="inlineStr">
        <is>
          <t>T1</t>
        </is>
      </c>
      <c r="F10" s="24" t="inlineStr">
        <is>
          <t>ai4privacy_pii_masking_eval_10k / sensitive_pii_full_name</t>
        </is>
      </c>
      <c r="G10" s="25" t="n">
        <v>5114</v>
      </c>
      <c r="H10" s="25" t="n">
        <v>10621</v>
      </c>
      <c r="I10" s="25" t="n">
        <v>5110</v>
      </c>
      <c r="J10" s="25" t="n">
        <v>4</v>
      </c>
      <c r="K10" s="25" t="n">
        <v>5511</v>
      </c>
      <c r="L10" s="26" t="n">
        <v>0.4811223048677149</v>
      </c>
      <c r="M10" s="26" t="n">
        <v>0.9992178333985139</v>
      </c>
      <c r="N10" s="26" t="n">
        <v>0.6495074674292978</v>
      </c>
      <c r="O10" s="26" t="n">
        <v>0.8221514303182419</v>
      </c>
      <c r="P10" s="26" t="n">
        <v>0.3811839608053426</v>
      </c>
    </row>
    <row r="11">
      <c r="A11" s="27" t="inlineStr">
        <is>
          <t>R7.65</t>
        </is>
      </c>
      <c r="B11" s="27" t="inlineStr">
        <is>
          <t>sensitive</t>
        </is>
      </c>
      <c r="C11" s="28" t="inlineStr">
        <is>
          <t>champion_1k_bootstrap</t>
        </is>
      </c>
      <c r="D11" s="28" t="inlineStr">
        <is>
          <t>8 holdouts (5 complete for F2)</t>
        </is>
      </c>
      <c r="E11" s="27" t="inlineStr">
        <is>
          <t>T1</t>
        </is>
      </c>
      <c r="F11" s="28" t="inlineStr">
        <is>
          <t>ai4privacy_pii_masking_eval_10k / sensitive_pii_passport_number</t>
        </is>
      </c>
      <c r="G11" s="29" t="n">
        <v>1102</v>
      </c>
      <c r="H11" s="29" t="n">
        <v>9708</v>
      </c>
      <c r="I11" s="29" t="n">
        <v>1101</v>
      </c>
      <c r="J11" s="29" t="n">
        <v>1</v>
      </c>
      <c r="K11" s="29" t="n">
        <v>8607</v>
      </c>
      <c r="L11" s="30" t="n">
        <v>0.1134116192830655</v>
      </c>
      <c r="M11" s="30" t="n">
        <v>0.9990925589836661</v>
      </c>
      <c r="N11" s="30" t="n">
        <v>0.2037002775208141</v>
      </c>
      <c r="O11" s="30" t="n">
        <v>0.3899829980164353</v>
      </c>
      <c r="P11" s="30" t="n">
        <v>0.3811839608053426</v>
      </c>
    </row>
    <row r="12">
      <c r="A12" t="inlineStr">
        <is>
          <t>R7.65</t>
        </is>
      </c>
      <c r="B12" t="inlineStr">
        <is>
          <t>sensitive</t>
        </is>
      </c>
      <c r="C12" s="24" t="inlineStr">
        <is>
          <t>champion_1k_bootstrap</t>
        </is>
      </c>
      <c r="D12" s="24" t="inlineStr">
        <is>
          <t>8 holdouts (5 complete for F2)</t>
        </is>
      </c>
      <c r="E12" t="inlineStr">
        <is>
          <t>T1</t>
        </is>
      </c>
      <c r="F12" s="24" t="inlineStr">
        <is>
          <t>ai4privacy_pii_masking_eval_10k / sensitive_pii_password</t>
        </is>
      </c>
      <c r="G12" s="25" t="n">
        <v>1245</v>
      </c>
      <c r="H12" s="25" t="n">
        <v>10470</v>
      </c>
      <c r="I12" s="25" t="n">
        <v>1244</v>
      </c>
      <c r="J12" s="25" t="n">
        <v>1</v>
      </c>
      <c r="K12" s="25" t="n">
        <v>9226</v>
      </c>
      <c r="L12" s="26" t="n">
        <v>0.1188156638013372</v>
      </c>
      <c r="M12" s="26" t="n">
        <v>0.9991967871485944</v>
      </c>
      <c r="N12" s="26" t="n">
        <v>0.2123772940674349</v>
      </c>
      <c r="O12" s="26" t="n">
        <v>0.402588996763754</v>
      </c>
      <c r="P12" s="26" t="n">
        <v>0.3811839608053426</v>
      </c>
    </row>
    <row r="13">
      <c r="A13" s="27" t="inlineStr">
        <is>
          <t>R7.65</t>
        </is>
      </c>
      <c r="B13" s="27" t="inlineStr">
        <is>
          <t>sensitive</t>
        </is>
      </c>
      <c r="C13" s="28" t="inlineStr">
        <is>
          <t>champion_1k_bootstrap</t>
        </is>
      </c>
      <c r="D13" s="28" t="inlineStr">
        <is>
          <t>8 holdouts (5 complete for F2)</t>
        </is>
      </c>
      <c r="E13" s="27" t="inlineStr">
        <is>
          <t>T1</t>
        </is>
      </c>
      <c r="F13" s="28" t="inlineStr">
        <is>
          <t>ai4privacy_pii_masking_eval_10k / sensitive_pii_personal_identification_number_pin</t>
        </is>
      </c>
      <c r="G13" s="29" t="n">
        <v>145</v>
      </c>
      <c r="H13" s="29" t="n">
        <v>9461</v>
      </c>
      <c r="I13" s="29" t="n">
        <v>145</v>
      </c>
      <c r="J13" s="29" t="n">
        <v>0</v>
      </c>
      <c r="K13" s="29" t="n">
        <v>9316</v>
      </c>
      <c r="L13" s="30" t="n">
        <v>0.01532607546770954</v>
      </c>
      <c r="M13" s="30" t="n">
        <v>1</v>
      </c>
      <c r="N13" s="30" t="n">
        <v>0.03018946491775973</v>
      </c>
      <c r="O13" s="30" t="n">
        <v>0.07220396374863061</v>
      </c>
      <c r="P13" s="30" t="n">
        <v>0.3811839608053426</v>
      </c>
    </row>
    <row r="14">
      <c r="A14" t="inlineStr">
        <is>
          <t>R7.65</t>
        </is>
      </c>
      <c r="B14" t="inlineStr">
        <is>
          <t>sensitive</t>
        </is>
      </c>
      <c r="C14" s="24" t="inlineStr">
        <is>
          <t>champion_1k_bootstrap</t>
        </is>
      </c>
      <c r="D14" s="24" t="inlineStr">
        <is>
          <t>8 holdouts (5 complete for F2)</t>
        </is>
      </c>
      <c r="E14" t="inlineStr">
        <is>
          <t>T1</t>
        </is>
      </c>
      <c r="F14" s="24" t="inlineStr">
        <is>
          <t>ai4privacy_pii_masking_eval_10k / sensitive_pii_social_security_number</t>
        </is>
      </c>
      <c r="G14" s="25" t="n">
        <v>2400</v>
      </c>
      <c r="H14" s="25" t="n">
        <v>9908</v>
      </c>
      <c r="I14" s="25" t="n">
        <v>2399</v>
      </c>
      <c r="J14" s="25" t="n">
        <v>1</v>
      </c>
      <c r="K14" s="25" t="n">
        <v>7509</v>
      </c>
      <c r="L14" s="26" t="n">
        <v>0.2421275736778361</v>
      </c>
      <c r="M14" s="26" t="n">
        <v>0.9995833333333334</v>
      </c>
      <c r="N14" s="26" t="n">
        <v>0.3898277543061424</v>
      </c>
      <c r="O14" s="26" t="n">
        <v>0.6148759483288907</v>
      </c>
      <c r="P14" s="26" t="n">
        <v>0.3811839608053426</v>
      </c>
    </row>
    <row r="15">
      <c r="A15" s="27" t="inlineStr">
        <is>
          <t>R7.65</t>
        </is>
      </c>
      <c r="B15" s="27" t="inlineStr">
        <is>
          <t>sensitive</t>
        </is>
      </c>
      <c r="C15" s="28" t="inlineStr">
        <is>
          <t>champion_1k_bootstrap</t>
        </is>
      </c>
      <c r="D15" s="28" t="inlineStr">
        <is>
          <t>8 holdouts (5 complete for F2)</t>
        </is>
      </c>
      <c r="E15" s="27" t="inlineStr">
        <is>
          <t>T1</t>
        </is>
      </c>
      <c r="F15" s="28" t="inlineStr">
        <is>
          <t>betterdataai_ner_silver_eval_10k / sensitive_phi_medical_record_number_mrn</t>
        </is>
      </c>
      <c r="G15" s="29" t="n">
        <v>151</v>
      </c>
      <c r="H15" s="29" t="n">
        <v>10331</v>
      </c>
      <c r="I15" s="29" t="n">
        <v>151</v>
      </c>
      <c r="J15" s="29" t="n">
        <v>0</v>
      </c>
      <c r="K15" s="29" t="n">
        <v>10180</v>
      </c>
      <c r="L15" s="30" t="n">
        <v>0.01461620365889072</v>
      </c>
      <c r="M15" s="30" t="n">
        <v>1</v>
      </c>
      <c r="N15" s="30" t="n">
        <v>0.02881129555428353</v>
      </c>
      <c r="O15" s="30" t="n">
        <v>0.06904435299497028</v>
      </c>
      <c r="P15" s="30" t="n">
        <v>0.3811839608053426</v>
      </c>
    </row>
    <row r="16">
      <c r="A16" t="inlineStr">
        <is>
          <t>R7.65</t>
        </is>
      </c>
      <c r="B16" t="inlineStr">
        <is>
          <t>sensitive</t>
        </is>
      </c>
      <c r="C16" s="24" t="inlineStr">
        <is>
          <t>champion_1k_bootstrap</t>
        </is>
      </c>
      <c r="D16" s="24" t="inlineStr">
        <is>
          <t>8 holdouts (5 complete for F2)</t>
        </is>
      </c>
      <c r="E16" t="inlineStr">
        <is>
          <t>T1</t>
        </is>
      </c>
      <c r="F16" s="24" t="inlineStr">
        <is>
          <t>betterdataai_ner_silver_eval_10k / sensitive_pii_address</t>
        </is>
      </c>
      <c r="G16" s="25" t="n">
        <v>254</v>
      </c>
      <c r="H16" s="25" t="n">
        <v>10297</v>
      </c>
      <c r="I16" s="25" t="n">
        <v>254</v>
      </c>
      <c r="J16" s="25" t="n">
        <v>0</v>
      </c>
      <c r="K16" s="25" t="n">
        <v>10043</v>
      </c>
      <c r="L16" s="26" t="n">
        <v>0.02466737884820822</v>
      </c>
      <c r="M16" s="26" t="n">
        <v>1</v>
      </c>
      <c r="N16" s="26" t="n">
        <v>0.04814709506207943</v>
      </c>
      <c r="O16" s="26" t="n">
        <v>0.1122602315919738</v>
      </c>
      <c r="P16" s="26" t="n">
        <v>0.3811839608053426</v>
      </c>
    </row>
    <row r="17">
      <c r="A17" s="27" t="inlineStr">
        <is>
          <t>R7.65</t>
        </is>
      </c>
      <c r="B17" s="27" t="inlineStr">
        <is>
          <t>sensitive</t>
        </is>
      </c>
      <c r="C17" s="28" t="inlineStr">
        <is>
          <t>champion_1k_bootstrap</t>
        </is>
      </c>
      <c r="D17" s="28" t="inlineStr">
        <is>
          <t>8 holdouts (5 complete for F2)</t>
        </is>
      </c>
      <c r="E17" s="27" t="inlineStr">
        <is>
          <t>T1</t>
        </is>
      </c>
      <c r="F17" s="28" t="inlineStr">
        <is>
          <t>betterdataai_ner_silver_eval_10k / sensitive_pii_full_name</t>
        </is>
      </c>
      <c r="G17" s="29" t="n">
        <v>8591</v>
      </c>
      <c r="H17" s="29" t="n">
        <v>10360</v>
      </c>
      <c r="I17" s="29" t="n">
        <v>8591</v>
      </c>
      <c r="J17" s="29" t="n">
        <v>0</v>
      </c>
      <c r="K17" s="29" t="n">
        <v>1769</v>
      </c>
      <c r="L17" s="30" t="n">
        <v>0.8292471042471042</v>
      </c>
      <c r="M17" s="30" t="n">
        <v>1</v>
      </c>
      <c r="N17" s="30" t="n">
        <v>0.9066540024273125</v>
      </c>
      <c r="O17" s="30" t="n">
        <v>0.9604462928181736</v>
      </c>
      <c r="P17" s="30" t="n">
        <v>0.3811839608053426</v>
      </c>
    </row>
    <row r="18">
      <c r="A18" t="inlineStr">
        <is>
          <t>R7.65</t>
        </is>
      </c>
      <c r="B18" t="inlineStr">
        <is>
          <t>sensitive</t>
        </is>
      </c>
      <c r="C18" s="24" t="inlineStr">
        <is>
          <t>champion_1k_bootstrap</t>
        </is>
      </c>
      <c r="D18" s="24" t="inlineStr">
        <is>
          <t>8 holdouts (5 complete for F2)</t>
        </is>
      </c>
      <c r="E18" t="inlineStr">
        <is>
          <t>T1</t>
        </is>
      </c>
      <c r="F18" s="24" t="inlineStr">
        <is>
          <t>betterdataai_ner_silver_eval_10k / sensitive_pii_password</t>
        </is>
      </c>
      <c r="G18" s="25" t="n">
        <v>50</v>
      </c>
      <c r="H18" s="25" t="n">
        <v>10319</v>
      </c>
      <c r="I18" s="25" t="n">
        <v>50</v>
      </c>
      <c r="J18" s="25" t="n">
        <v>0</v>
      </c>
      <c r="K18" s="25" t="n">
        <v>10269</v>
      </c>
      <c r="L18" s="26" t="n">
        <v>0.004845430758794456</v>
      </c>
      <c r="M18" s="26" t="n">
        <v>1</v>
      </c>
      <c r="N18" s="26" t="n">
        <v>0.009644131545954287</v>
      </c>
      <c r="O18" s="26" t="n">
        <v>0.02376651772982222</v>
      </c>
      <c r="P18" s="26" t="n">
        <v>0.3811839608053426</v>
      </c>
    </row>
    <row r="19">
      <c r="A19" s="27" t="inlineStr">
        <is>
          <t>R7.65</t>
        </is>
      </c>
      <c r="B19" s="27" t="inlineStr">
        <is>
          <t>sensitive</t>
        </is>
      </c>
      <c r="C19" s="28" t="inlineStr">
        <is>
          <t>champion_1k_bootstrap</t>
        </is>
      </c>
      <c r="D19" s="28" t="inlineStr">
        <is>
          <t>8 holdouts (5 complete for F2)</t>
        </is>
      </c>
      <c r="E19" s="27" t="inlineStr">
        <is>
          <t>T1</t>
        </is>
      </c>
      <c r="F19" s="28" t="inlineStr">
        <is>
          <t>openpii_pii_eval_38k / sensitive_pci_credit_card_number</t>
        </is>
      </c>
      <c r="G19" s="29" t="n">
        <v>8908</v>
      </c>
      <c r="H19" s="29" t="n">
        <v>38184</v>
      </c>
      <c r="I19" s="29" t="n">
        <v>8908</v>
      </c>
      <c r="J19" s="29" t="n">
        <v>0</v>
      </c>
      <c r="K19" s="29" t="n">
        <v>29276</v>
      </c>
      <c r="L19" s="30" t="n">
        <v>0.2332914309658496</v>
      </c>
      <c r="M19" s="30" t="n">
        <v>1</v>
      </c>
      <c r="N19" s="30" t="n">
        <v>0.3783232820861293</v>
      </c>
      <c r="O19" s="30" t="n">
        <v>0.6033922184892163</v>
      </c>
      <c r="P19" s="30" t="n">
        <v>0.3811839608053426</v>
      </c>
    </row>
    <row r="20">
      <c r="A20" t="inlineStr">
        <is>
          <t>R7.65</t>
        </is>
      </c>
      <c r="B20" t="inlineStr">
        <is>
          <t>sensitive</t>
        </is>
      </c>
      <c r="C20" s="24" t="inlineStr">
        <is>
          <t>champion_1k_bootstrap</t>
        </is>
      </c>
      <c r="D20" s="24" t="inlineStr">
        <is>
          <t>8 holdouts (5 complete for F2)</t>
        </is>
      </c>
      <c r="E20" t="inlineStr">
        <is>
          <t>T1</t>
        </is>
      </c>
      <c r="F20" s="24" t="inlineStr">
        <is>
          <t>openpii_pii_eval_38k / sensitive_pci_individual_taxpayer_identification_number_itin</t>
        </is>
      </c>
      <c r="G20" s="25" t="n">
        <v>7672</v>
      </c>
      <c r="H20" s="25" t="n">
        <v>38679</v>
      </c>
      <c r="I20" s="25" t="n">
        <v>7672</v>
      </c>
      <c r="J20" s="25" t="n">
        <v>0</v>
      </c>
      <c r="K20" s="25" t="n">
        <v>31007</v>
      </c>
      <c r="L20" s="26" t="n">
        <v>0.1983505261252876</v>
      </c>
      <c r="M20" s="26" t="n">
        <v>1</v>
      </c>
      <c r="N20" s="26" t="n">
        <v>0.331039244029255</v>
      </c>
      <c r="O20" s="26" t="n">
        <v>0.5530007063877637</v>
      </c>
      <c r="P20" s="26" t="n">
        <v>0.3811839608053426</v>
      </c>
    </row>
    <row r="21">
      <c r="A21" s="27" t="inlineStr">
        <is>
          <t>R7.65</t>
        </is>
      </c>
      <c r="B21" s="27" t="inlineStr">
        <is>
          <t>sensitive</t>
        </is>
      </c>
      <c r="C21" s="28" t="inlineStr">
        <is>
          <t>champion_1k_bootstrap</t>
        </is>
      </c>
      <c r="D21" s="28" t="inlineStr">
        <is>
          <t>8 holdouts (5 complete for F2)</t>
        </is>
      </c>
      <c r="E21" s="27" t="inlineStr">
        <is>
          <t>T1</t>
        </is>
      </c>
      <c r="F21" s="28" t="inlineStr">
        <is>
          <t>openpii_pii_eval_38k / sensitive_pii_address</t>
        </is>
      </c>
      <c r="G21" s="29" t="n">
        <v>15267</v>
      </c>
      <c r="H21" s="29" t="n">
        <v>38931</v>
      </c>
      <c r="I21" s="29" t="n">
        <v>15266</v>
      </c>
      <c r="J21" s="29" t="n">
        <v>1</v>
      </c>
      <c r="K21" s="29" t="n">
        <v>23665</v>
      </c>
      <c r="L21" s="30" t="n">
        <v>0.3921296653052837</v>
      </c>
      <c r="M21" s="30" t="n">
        <v>0.9999344992467414</v>
      </c>
      <c r="N21" s="30" t="n">
        <v>0.5633418207313923</v>
      </c>
      <c r="O21" s="30" t="n">
        <v>0.7633076330763308</v>
      </c>
      <c r="P21" s="30" t="n">
        <v>0.3811839608053426</v>
      </c>
    </row>
    <row r="22">
      <c r="A22" t="inlineStr">
        <is>
          <t>R7.65</t>
        </is>
      </c>
      <c r="B22" t="inlineStr">
        <is>
          <t>sensitive</t>
        </is>
      </c>
      <c r="C22" s="24" t="inlineStr">
        <is>
          <t>champion_1k_bootstrap</t>
        </is>
      </c>
      <c r="D22" s="24" t="inlineStr">
        <is>
          <t>8 holdouts (5 complete for F2)</t>
        </is>
      </c>
      <c r="E22" t="inlineStr">
        <is>
          <t>T1</t>
        </is>
      </c>
      <c r="F22" s="24" t="inlineStr">
        <is>
          <t>openpii_pii_eval_38k / sensitive_pii_driver_s_license_number</t>
        </is>
      </c>
      <c r="G22" s="25" t="n">
        <v>8538</v>
      </c>
      <c r="H22" s="25" t="n">
        <v>38890</v>
      </c>
      <c r="I22" s="25" t="n">
        <v>8538</v>
      </c>
      <c r="J22" s="25" t="n">
        <v>0</v>
      </c>
      <c r="K22" s="25" t="n">
        <v>30352</v>
      </c>
      <c r="L22" s="26" t="n">
        <v>0.2195422987914631</v>
      </c>
      <c r="M22" s="26" t="n">
        <v>1</v>
      </c>
      <c r="N22" s="26" t="n">
        <v>0.3600404824154508</v>
      </c>
      <c r="O22" s="26" t="n">
        <v>0.5844582568932942</v>
      </c>
      <c r="P22" s="26" t="n">
        <v>0.3811839608053426</v>
      </c>
    </row>
    <row r="23">
      <c r="A23" s="27" t="inlineStr">
        <is>
          <t>R7.65</t>
        </is>
      </c>
      <c r="B23" s="27" t="inlineStr">
        <is>
          <t>sensitive</t>
        </is>
      </c>
      <c r="C23" s="28" t="inlineStr">
        <is>
          <t>champion_1k_bootstrap</t>
        </is>
      </c>
      <c r="D23" s="28" t="inlineStr">
        <is>
          <t>8 holdouts (5 complete for F2)</t>
        </is>
      </c>
      <c r="E23" s="27" t="inlineStr">
        <is>
          <t>T1</t>
        </is>
      </c>
      <c r="F23" s="28" t="inlineStr">
        <is>
          <t>openpii_pii_eval_38k / sensitive_pii_full_name</t>
        </is>
      </c>
      <c r="G23" s="29" t="n">
        <v>29335</v>
      </c>
      <c r="H23" s="29" t="n">
        <v>38937</v>
      </c>
      <c r="I23" s="29" t="n">
        <v>29335</v>
      </c>
      <c r="J23" s="29" t="n">
        <v>0</v>
      </c>
      <c r="K23" s="29" t="n">
        <v>9602</v>
      </c>
      <c r="L23" s="30" t="n">
        <v>0.7533965123147649</v>
      </c>
      <c r="M23" s="30" t="n">
        <v>1</v>
      </c>
      <c r="N23" s="30" t="n">
        <v>0.8593566908835248</v>
      </c>
      <c r="O23" s="30" t="n">
        <v>0.9385578172091863</v>
      </c>
      <c r="P23" s="30" t="n">
        <v>0.3811839608053426</v>
      </c>
    </row>
    <row r="24">
      <c r="A24" t="inlineStr">
        <is>
          <t>R7.65</t>
        </is>
      </c>
      <c r="B24" t="inlineStr">
        <is>
          <t>sensitive</t>
        </is>
      </c>
      <c r="C24" s="24" t="inlineStr">
        <is>
          <t>champion_1k_bootstrap</t>
        </is>
      </c>
      <c r="D24" s="24" t="inlineStr">
        <is>
          <t>8 holdouts (5 complete for F2)</t>
        </is>
      </c>
      <c r="E24" t="inlineStr">
        <is>
          <t>T1</t>
        </is>
      </c>
      <c r="F24" s="24" t="inlineStr">
        <is>
          <t>openpii_pii_eval_38k / sensitive_pii_military_identification_number</t>
        </is>
      </c>
      <c r="G24" s="25" t="n">
        <v>13763</v>
      </c>
      <c r="H24" s="25" t="n">
        <v>38774</v>
      </c>
      <c r="I24" s="25" t="n">
        <v>13760</v>
      </c>
      <c r="J24" s="25" t="n">
        <v>3</v>
      </c>
      <c r="K24" s="25" t="n">
        <v>25014</v>
      </c>
      <c r="L24" s="26" t="n">
        <v>0.3548769794191984</v>
      </c>
      <c r="M24" s="26" t="n">
        <v>0.9997820242679648</v>
      </c>
      <c r="N24" s="26" t="n">
        <v>0.5238213068884785</v>
      </c>
      <c r="O24" s="26" t="n">
        <v>0.7332722273143903</v>
      </c>
      <c r="P24" s="26" t="n">
        <v>0.3811839608053426</v>
      </c>
    </row>
    <row r="25">
      <c r="A25" s="27" t="inlineStr">
        <is>
          <t>R7.65</t>
        </is>
      </c>
      <c r="B25" s="27" t="inlineStr">
        <is>
          <t>sensitive</t>
        </is>
      </c>
      <c r="C25" s="28" t="inlineStr">
        <is>
          <t>champion_1k_bootstrap</t>
        </is>
      </c>
      <c r="D25" s="28" t="inlineStr">
        <is>
          <t>8 holdouts (5 complete for F2)</t>
        </is>
      </c>
      <c r="E25" s="27" t="inlineStr">
        <is>
          <t>T1</t>
        </is>
      </c>
      <c r="F25" s="28" t="inlineStr">
        <is>
          <t>openpii_pii_eval_38k / sensitive_pii_passport_number</t>
        </is>
      </c>
      <c r="G25" s="29" t="n">
        <v>13763</v>
      </c>
      <c r="H25" s="29" t="n">
        <v>38719</v>
      </c>
      <c r="I25" s="29" t="n">
        <v>13759</v>
      </c>
      <c r="J25" s="29" t="n">
        <v>4</v>
      </c>
      <c r="K25" s="29" t="n">
        <v>24960</v>
      </c>
      <c r="L25" s="30" t="n">
        <v>0.3553552519434903</v>
      </c>
      <c r="M25" s="30" t="n">
        <v>0.9997093656906197</v>
      </c>
      <c r="N25" s="30" t="n">
        <v>0.5243321519759154</v>
      </c>
      <c r="O25" s="30" t="n">
        <v>0.7336489959582387</v>
      </c>
      <c r="P25" s="30" t="n">
        <v>0.3811839608053426</v>
      </c>
    </row>
    <row r="26">
      <c r="A26" t="inlineStr">
        <is>
          <t>R7.65</t>
        </is>
      </c>
      <c r="B26" t="inlineStr">
        <is>
          <t>sensitive</t>
        </is>
      </c>
      <c r="C26" s="24" t="inlineStr">
        <is>
          <t>champion_1k_bootstrap</t>
        </is>
      </c>
      <c r="D26" s="24" t="inlineStr">
        <is>
          <t>8 holdouts (5 complete for F2)</t>
        </is>
      </c>
      <c r="E26" t="inlineStr">
        <is>
          <t>T1</t>
        </is>
      </c>
      <c r="F26" s="24" t="inlineStr">
        <is>
          <t>openpii_pii_eval_38k / sensitive_pii_social_security_number</t>
        </is>
      </c>
      <c r="G26" s="25" t="n">
        <v>6748</v>
      </c>
      <c r="H26" s="25" t="n">
        <v>38606</v>
      </c>
      <c r="I26" s="25" t="n">
        <v>6748</v>
      </c>
      <c r="J26" s="25" t="n">
        <v>0</v>
      </c>
      <c r="K26" s="25" t="n">
        <v>31858</v>
      </c>
      <c r="L26" s="26" t="n">
        <v>0.1747914831891416</v>
      </c>
      <c r="M26" s="26" t="n">
        <v>1</v>
      </c>
      <c r="N26" s="26" t="n">
        <v>0.2975702253384487</v>
      </c>
      <c r="O26" s="26" t="n">
        <v>0.5143449495411445</v>
      </c>
      <c r="P26" s="26" t="n">
        <v>0.3811839608053426</v>
      </c>
    </row>
    <row r="27">
      <c r="A27" s="27" t="inlineStr">
        <is>
          <t>R7.65</t>
        </is>
      </c>
      <c r="B27" s="27" t="inlineStr">
        <is>
          <t>sensitive</t>
        </is>
      </c>
      <c r="C27" s="28" t="inlineStr">
        <is>
          <t>champion_1k_bootstrap</t>
        </is>
      </c>
      <c r="D27" s="28" t="inlineStr">
        <is>
          <t>8 holdouts (5 complete for F2)</t>
        </is>
      </c>
      <c r="E27" s="27" t="inlineStr">
        <is>
          <t>T1</t>
        </is>
      </c>
      <c r="F27" s="28" t="inlineStr">
        <is>
          <t>openpii_pii_eval_38k / sensitive_pii_visa_number</t>
        </is>
      </c>
      <c r="G27" s="29" t="n">
        <v>13763</v>
      </c>
      <c r="H27" s="29" t="n">
        <v>38756</v>
      </c>
      <c r="I27" s="29" t="n">
        <v>13760</v>
      </c>
      <c r="J27" s="29" t="n">
        <v>3</v>
      </c>
      <c r="K27" s="29" t="n">
        <v>24996</v>
      </c>
      <c r="L27" s="30" t="n">
        <v>0.355041799979358</v>
      </c>
      <c r="M27" s="30" t="n">
        <v>0.9997820242679648</v>
      </c>
      <c r="N27" s="30" t="n">
        <v>0.5240008377920371</v>
      </c>
      <c r="O27" s="30" t="n">
        <v>0.7334129285348798</v>
      </c>
      <c r="P27" s="30" t="n">
        <v>0.3811839608053426</v>
      </c>
    </row>
    <row r="28">
      <c r="A28" t="inlineStr">
        <is>
          <t>R7.65</t>
        </is>
      </c>
      <c r="B28" t="inlineStr">
        <is>
          <t>sensitive</t>
        </is>
      </c>
      <c r="C28" s="24" t="inlineStr">
        <is>
          <t>champion_1k_bootstrap</t>
        </is>
      </c>
      <c r="D28" s="24" t="inlineStr">
        <is>
          <t>8 holdouts (5 complete for F2)</t>
        </is>
      </c>
      <c r="E28" t="inlineStr">
        <is>
          <t>T1</t>
        </is>
      </c>
      <c r="F28" s="24" t="inlineStr">
        <is>
          <t>pii2_eval_30k / sensitive_pci_bank_account_number</t>
        </is>
      </c>
      <c r="G28" s="25" t="n">
        <v>316</v>
      </c>
      <c r="H28" s="25" t="n">
        <v>21127</v>
      </c>
      <c r="I28" s="25" t="n">
        <v>316</v>
      </c>
      <c r="J28" s="25" t="n">
        <v>0</v>
      </c>
      <c r="K28" s="25" t="n">
        <v>20811</v>
      </c>
      <c r="L28" s="26" t="n">
        <v>0.01495716381881005</v>
      </c>
      <c r="M28" s="26" t="n">
        <v>1</v>
      </c>
      <c r="N28" s="26" t="n">
        <v>0.02947348785151332</v>
      </c>
      <c r="O28" s="26" t="n">
        <v>0.0705640659193426</v>
      </c>
      <c r="P28" s="26" t="n">
        <v>0.3811839608053426</v>
      </c>
    </row>
    <row r="29">
      <c r="A29" s="27" t="inlineStr">
        <is>
          <t>R7.65</t>
        </is>
      </c>
      <c r="B29" s="27" t="inlineStr">
        <is>
          <t>sensitive</t>
        </is>
      </c>
      <c r="C29" s="28" t="inlineStr">
        <is>
          <t>champion_1k_bootstrap</t>
        </is>
      </c>
      <c r="D29" s="28" t="inlineStr">
        <is>
          <t>8 holdouts (5 complete for F2)</t>
        </is>
      </c>
      <c r="E29" s="27" t="inlineStr">
        <is>
          <t>T1</t>
        </is>
      </c>
      <c r="F29" s="28" t="inlineStr">
        <is>
          <t>pii2_eval_30k / sensitive_pci_credit_card_number</t>
        </is>
      </c>
      <c r="G29" s="29" t="n">
        <v>309</v>
      </c>
      <c r="H29" s="29" t="n">
        <v>27930</v>
      </c>
      <c r="I29" s="29" t="n">
        <v>309</v>
      </c>
      <c r="J29" s="29" t="n">
        <v>0</v>
      </c>
      <c r="K29" s="29" t="n">
        <v>27621</v>
      </c>
      <c r="L29" s="30" t="n">
        <v>0.01106337271750806</v>
      </c>
      <c r="M29" s="30" t="n">
        <v>1</v>
      </c>
      <c r="N29" s="30" t="n">
        <v>0.02188462764262191</v>
      </c>
      <c r="O29" s="30" t="n">
        <v>0.05297263937461428</v>
      </c>
      <c r="P29" s="30" t="n">
        <v>0.3811839608053426</v>
      </c>
    </row>
    <row r="30">
      <c r="A30" t="inlineStr">
        <is>
          <t>R7.65</t>
        </is>
      </c>
      <c r="B30" t="inlineStr">
        <is>
          <t>sensitive</t>
        </is>
      </c>
      <c r="C30" s="24" t="inlineStr">
        <is>
          <t>champion_1k_bootstrap</t>
        </is>
      </c>
      <c r="D30" s="24" t="inlineStr">
        <is>
          <t>8 holdouts (5 complete for F2)</t>
        </is>
      </c>
      <c r="E30" t="inlineStr">
        <is>
          <t>T1</t>
        </is>
      </c>
      <c r="F30" s="24" t="inlineStr">
        <is>
          <t>pii2_eval_30k / sensitive_pci_iban</t>
        </is>
      </c>
      <c r="G30" s="25" t="n">
        <v>309</v>
      </c>
      <c r="H30" s="25" t="n">
        <v>21317</v>
      </c>
      <c r="I30" s="25" t="n">
        <v>309</v>
      </c>
      <c r="J30" s="25" t="n">
        <v>0</v>
      </c>
      <c r="K30" s="25" t="n">
        <v>21008</v>
      </c>
      <c r="L30" s="26" t="n">
        <v>0.01449547309658958</v>
      </c>
      <c r="M30" s="26" t="n">
        <v>1</v>
      </c>
      <c r="N30" s="26" t="n">
        <v>0.02857671321557385</v>
      </c>
      <c r="O30" s="26" t="n">
        <v>0.06850529862989403</v>
      </c>
      <c r="P30" s="26" t="n">
        <v>0.3811839608053426</v>
      </c>
    </row>
    <row r="31">
      <c r="A31" s="27" t="inlineStr">
        <is>
          <t>R7.65</t>
        </is>
      </c>
      <c r="B31" s="27" t="inlineStr">
        <is>
          <t>sensitive</t>
        </is>
      </c>
      <c r="C31" s="28" t="inlineStr">
        <is>
          <t>champion_1k_bootstrap</t>
        </is>
      </c>
      <c r="D31" s="28" t="inlineStr">
        <is>
          <t>8 holdouts (5 complete for F2)</t>
        </is>
      </c>
      <c r="E31" s="27" t="inlineStr">
        <is>
          <t>T1</t>
        </is>
      </c>
      <c r="F31" s="28" t="inlineStr">
        <is>
          <t>pii2_eval_30k / sensitive_pci_individual_taxpayer_identification_number_itin</t>
        </is>
      </c>
      <c r="G31" s="29" t="n">
        <v>234</v>
      </c>
      <c r="H31" s="29" t="n">
        <v>29236</v>
      </c>
      <c r="I31" s="29" t="n">
        <v>234</v>
      </c>
      <c r="J31" s="29" t="n">
        <v>0</v>
      </c>
      <c r="K31" s="29" t="n">
        <v>29002</v>
      </c>
      <c r="L31" s="30" t="n">
        <v>0.008003830893419073</v>
      </c>
      <c r="M31" s="30" t="n">
        <v>1</v>
      </c>
      <c r="N31" s="30" t="n">
        <v>0.01588055649813369</v>
      </c>
      <c r="O31" s="30" t="n">
        <v>0.03877767466525256</v>
      </c>
      <c r="P31" s="30" t="n">
        <v>0.3811839608053426</v>
      </c>
    </row>
    <row r="32">
      <c r="A32" t="inlineStr">
        <is>
          <t>R7.65</t>
        </is>
      </c>
      <c r="B32" t="inlineStr">
        <is>
          <t>sensitive</t>
        </is>
      </c>
      <c r="C32" s="24" t="inlineStr">
        <is>
          <t>champion_1k_bootstrap</t>
        </is>
      </c>
      <c r="D32" s="24" t="inlineStr">
        <is>
          <t>8 holdouts (5 complete for F2)</t>
        </is>
      </c>
      <c r="E32" t="inlineStr">
        <is>
          <t>T1</t>
        </is>
      </c>
      <c r="F32" s="24" t="inlineStr">
        <is>
          <t>pii2_eval_30k / sensitive_phi_health_plan_beneficiary_number</t>
        </is>
      </c>
      <c r="G32" s="25" t="n">
        <v>536</v>
      </c>
      <c r="H32" s="25" t="n">
        <v>25756</v>
      </c>
      <c r="I32" s="25" t="n">
        <v>536</v>
      </c>
      <c r="J32" s="25" t="n">
        <v>0</v>
      </c>
      <c r="K32" s="25" t="n">
        <v>25220</v>
      </c>
      <c r="L32" s="26" t="n">
        <v>0.02081068488895791</v>
      </c>
      <c r="M32" s="26" t="n">
        <v>1</v>
      </c>
      <c r="N32" s="26" t="n">
        <v>0.04077285866423246</v>
      </c>
      <c r="O32" s="26" t="n">
        <v>0.0960573476702509</v>
      </c>
      <c r="P32" s="26" t="n">
        <v>0.3811839608053426</v>
      </c>
    </row>
    <row r="33">
      <c r="A33" s="27" t="inlineStr">
        <is>
          <t>R7.65</t>
        </is>
      </c>
      <c r="B33" s="27" t="inlineStr">
        <is>
          <t>sensitive</t>
        </is>
      </c>
      <c r="C33" s="28" t="inlineStr">
        <is>
          <t>champion_1k_bootstrap</t>
        </is>
      </c>
      <c r="D33" s="28" t="inlineStr">
        <is>
          <t>8 holdouts (5 complete for F2)</t>
        </is>
      </c>
      <c r="E33" s="27" t="inlineStr">
        <is>
          <t>T1</t>
        </is>
      </c>
      <c r="F33" s="28" t="inlineStr">
        <is>
          <t>pii2_eval_30k / sensitive_phi_medical_record_number_mrn</t>
        </is>
      </c>
      <c r="G33" s="29" t="n">
        <v>535</v>
      </c>
      <c r="H33" s="29" t="n">
        <v>29977</v>
      </c>
      <c r="I33" s="29" t="n">
        <v>535</v>
      </c>
      <c r="J33" s="29" t="n">
        <v>0</v>
      </c>
      <c r="K33" s="29" t="n">
        <v>29442</v>
      </c>
      <c r="L33" s="30" t="n">
        <v>0.01784701604563499</v>
      </c>
      <c r="M33" s="30" t="n">
        <v>1</v>
      </c>
      <c r="N33" s="30" t="n">
        <v>0.03506816990036707</v>
      </c>
      <c r="O33" s="30" t="n">
        <v>0.08328922377557056</v>
      </c>
      <c r="P33" s="30" t="n">
        <v>0.3811839608053426</v>
      </c>
    </row>
    <row r="34">
      <c r="A34" t="inlineStr">
        <is>
          <t>R7.65</t>
        </is>
      </c>
      <c r="B34" t="inlineStr">
        <is>
          <t>sensitive</t>
        </is>
      </c>
      <c r="C34" s="24" t="inlineStr">
        <is>
          <t>champion_1k_bootstrap</t>
        </is>
      </c>
      <c r="D34" s="24" t="inlineStr">
        <is>
          <t>8 holdouts (5 complete for F2)</t>
        </is>
      </c>
      <c r="E34" t="inlineStr">
        <is>
          <t>T1</t>
        </is>
      </c>
      <c r="F34" s="24" t="inlineStr">
        <is>
          <t>pii2_eval_30k / sensitive_phi_patient_id_number</t>
        </is>
      </c>
      <c r="G34" s="25" t="n">
        <v>326</v>
      </c>
      <c r="H34" s="25" t="n">
        <v>26241</v>
      </c>
      <c r="I34" s="25" t="n">
        <v>326</v>
      </c>
      <c r="J34" s="25" t="n">
        <v>0</v>
      </c>
      <c r="K34" s="25" t="n">
        <v>25915</v>
      </c>
      <c r="L34" s="26" t="n">
        <v>0.01242330703860371</v>
      </c>
      <c r="M34" s="26" t="n">
        <v>1</v>
      </c>
      <c r="N34" s="26" t="n">
        <v>0.02454172469605149</v>
      </c>
      <c r="O34" s="26" t="n">
        <v>0.05917589399165003</v>
      </c>
      <c r="P34" s="26" t="n">
        <v>0.3811839608053426</v>
      </c>
    </row>
    <row r="35">
      <c r="A35" s="27" t="inlineStr">
        <is>
          <t>R7.65</t>
        </is>
      </c>
      <c r="B35" s="27" t="inlineStr">
        <is>
          <t>sensitive</t>
        </is>
      </c>
      <c r="C35" s="28" t="inlineStr">
        <is>
          <t>champion_1k_bootstrap</t>
        </is>
      </c>
      <c r="D35" s="28" t="inlineStr">
        <is>
          <t>8 holdouts (5 complete for F2)</t>
        </is>
      </c>
      <c r="E35" s="27" t="inlineStr">
        <is>
          <t>T1</t>
        </is>
      </c>
      <c r="F35" s="28" t="inlineStr">
        <is>
          <t>pii2_eval_30k / sensitive_pii_address</t>
        </is>
      </c>
      <c r="G35" s="29" t="n">
        <v>2553</v>
      </c>
      <c r="H35" s="29" t="n">
        <v>29960</v>
      </c>
      <c r="I35" s="29" t="n">
        <v>2547</v>
      </c>
      <c r="J35" s="29" t="n">
        <v>6</v>
      </c>
      <c r="K35" s="29" t="n">
        <v>27413</v>
      </c>
      <c r="L35" s="30" t="n">
        <v>0.08501335113484647</v>
      </c>
      <c r="M35" s="30" t="n">
        <v>0.9976498237367802</v>
      </c>
      <c r="N35" s="30" t="n">
        <v>0.1566757912219728</v>
      </c>
      <c r="O35" s="30" t="n">
        <v>0.317011849049089</v>
      </c>
      <c r="P35" s="30" t="n">
        <v>0.3811839608053426</v>
      </c>
    </row>
    <row r="36">
      <c r="A36" t="inlineStr">
        <is>
          <t>R7.65</t>
        </is>
      </c>
      <c r="B36" t="inlineStr">
        <is>
          <t>sensitive</t>
        </is>
      </c>
      <c r="C36" s="24" t="inlineStr">
        <is>
          <t>champion_1k_bootstrap</t>
        </is>
      </c>
      <c r="D36" s="24" t="inlineStr">
        <is>
          <t>8 holdouts (5 complete for F2)</t>
        </is>
      </c>
      <c r="E36" t="inlineStr">
        <is>
          <t>T1</t>
        </is>
      </c>
      <c r="F36" s="24" t="inlineStr">
        <is>
          <t>pii2_eval_30k / sensitive_pii_driver_s_license_number</t>
        </is>
      </c>
      <c r="G36" s="25" t="n">
        <v>219</v>
      </c>
      <c r="H36" s="25" t="n">
        <v>29762</v>
      </c>
      <c r="I36" s="25" t="n">
        <v>219</v>
      </c>
      <c r="J36" s="25" t="n">
        <v>0</v>
      </c>
      <c r="K36" s="25" t="n">
        <v>29543</v>
      </c>
      <c r="L36" s="26" t="n">
        <v>0.00735837645319535</v>
      </c>
      <c r="M36" s="26" t="n">
        <v>1</v>
      </c>
      <c r="N36" s="26" t="n">
        <v>0.01460925252660018</v>
      </c>
      <c r="O36" s="26" t="n">
        <v>0.03573993080488282</v>
      </c>
      <c r="P36" s="26" t="n">
        <v>0.3811839608053426</v>
      </c>
    </row>
    <row r="37">
      <c r="A37" s="27" t="inlineStr">
        <is>
          <t>R7.65</t>
        </is>
      </c>
      <c r="B37" s="27" t="inlineStr">
        <is>
          <t>sensitive</t>
        </is>
      </c>
      <c r="C37" s="28" t="inlineStr">
        <is>
          <t>champion_1k_bootstrap</t>
        </is>
      </c>
      <c r="D37" s="28" t="inlineStr">
        <is>
          <t>8 holdouts (5 complete for F2)</t>
        </is>
      </c>
      <c r="E37" s="27" t="inlineStr">
        <is>
          <t>T1</t>
        </is>
      </c>
      <c r="F37" s="28" t="inlineStr">
        <is>
          <t>pii2_eval_30k / sensitive_pii_full_name</t>
        </is>
      </c>
      <c r="G37" s="29" t="n">
        <v>6811</v>
      </c>
      <c r="H37" s="29" t="n">
        <v>29975</v>
      </c>
      <c r="I37" s="29" t="n">
        <v>6807</v>
      </c>
      <c r="J37" s="29" t="n">
        <v>4</v>
      </c>
      <c r="K37" s="29" t="n">
        <v>23168</v>
      </c>
      <c r="L37" s="30" t="n">
        <v>0.2270892410341952</v>
      </c>
      <c r="M37" s="30" t="n">
        <v>0.9994127147261782</v>
      </c>
      <c r="N37" s="30" t="n">
        <v>0.3700864459305171</v>
      </c>
      <c r="O37" s="30" t="n">
        <v>0.5948199024799455</v>
      </c>
      <c r="P37" s="30" t="n">
        <v>0.3811839608053426</v>
      </c>
    </row>
    <row r="38">
      <c r="A38" t="inlineStr">
        <is>
          <t>R7.65</t>
        </is>
      </c>
      <c r="B38" t="inlineStr">
        <is>
          <t>sensitive</t>
        </is>
      </c>
      <c r="C38" s="24" t="inlineStr">
        <is>
          <t>champion_1k_bootstrap</t>
        </is>
      </c>
      <c r="D38" s="24" t="inlineStr">
        <is>
          <t>8 holdouts (5 complete for F2)</t>
        </is>
      </c>
      <c r="E38" t="inlineStr">
        <is>
          <t>T1</t>
        </is>
      </c>
      <c r="F38" s="24" t="inlineStr">
        <is>
          <t>pii2_eval_30k / sensitive_pii_passport_number</t>
        </is>
      </c>
      <c r="G38" s="25" t="n">
        <v>227</v>
      </c>
      <c r="H38" s="25" t="n">
        <v>29181</v>
      </c>
      <c r="I38" s="25" t="n">
        <v>227</v>
      </c>
      <c r="J38" s="25" t="n">
        <v>0</v>
      </c>
      <c r="K38" s="25" t="n">
        <v>28954</v>
      </c>
      <c r="L38" s="26" t="n">
        <v>0.007779034303142455</v>
      </c>
      <c r="M38" s="26" t="n">
        <v>1</v>
      </c>
      <c r="N38" s="26" t="n">
        <v>0.0154379760609358</v>
      </c>
      <c r="O38" s="26" t="n">
        <v>0.03772142643490976</v>
      </c>
      <c r="P38" s="26" t="n">
        <v>0.3811839608053426</v>
      </c>
    </row>
    <row r="39">
      <c r="A39" s="27" t="inlineStr">
        <is>
          <t>R7.65</t>
        </is>
      </c>
      <c r="B39" s="27" t="inlineStr">
        <is>
          <t>sensitive</t>
        </is>
      </c>
      <c r="C39" s="28" t="inlineStr">
        <is>
          <t>champion_1k_bootstrap</t>
        </is>
      </c>
      <c r="D39" s="28" t="inlineStr">
        <is>
          <t>8 holdouts (5 complete for F2)</t>
        </is>
      </c>
      <c r="E39" s="27" t="inlineStr">
        <is>
          <t>T1</t>
        </is>
      </c>
      <c r="F39" s="28" t="inlineStr">
        <is>
          <t>pii2_eval_30k / sensitive_pii_password</t>
        </is>
      </c>
      <c r="G39" s="29" t="n">
        <v>196</v>
      </c>
      <c r="H39" s="29" t="n">
        <v>29090</v>
      </c>
      <c r="I39" s="29" t="n">
        <v>196</v>
      </c>
      <c r="J39" s="29" t="n">
        <v>0</v>
      </c>
      <c r="K39" s="29" t="n">
        <v>28894</v>
      </c>
      <c r="L39" s="30" t="n">
        <v>0.006737710553454795</v>
      </c>
      <c r="M39" s="30" t="n">
        <v>1</v>
      </c>
      <c r="N39" s="30" t="n">
        <v>0.01338523526599741</v>
      </c>
      <c r="O39" s="30" t="n">
        <v>0.03280444533708241</v>
      </c>
      <c r="P39" s="30" t="n">
        <v>0.3811839608053426</v>
      </c>
    </row>
    <row r="40">
      <c r="A40" t="inlineStr">
        <is>
          <t>R7.65</t>
        </is>
      </c>
      <c r="B40" t="inlineStr">
        <is>
          <t>sensitive</t>
        </is>
      </c>
      <c r="C40" s="24" t="inlineStr">
        <is>
          <t>champion_1k_bootstrap</t>
        </is>
      </c>
      <c r="D40" s="24" t="inlineStr">
        <is>
          <t>8 holdouts (5 complete for F2)</t>
        </is>
      </c>
      <c r="E40" t="inlineStr">
        <is>
          <t>T1</t>
        </is>
      </c>
      <c r="F40" s="24" t="inlineStr">
        <is>
          <t>pii2_eval_30k / sensitive_pii_personal_identification_number_pin</t>
        </is>
      </c>
      <c r="G40" s="25" t="n">
        <v>182</v>
      </c>
      <c r="H40" s="25" t="n">
        <v>28104</v>
      </c>
      <c r="I40" s="25" t="n">
        <v>182</v>
      </c>
      <c r="J40" s="25" t="n">
        <v>0</v>
      </c>
      <c r="K40" s="25" t="n">
        <v>27922</v>
      </c>
      <c r="L40" s="26" t="n">
        <v>0.006475946484486194</v>
      </c>
      <c r="M40" s="26" t="n">
        <v>1</v>
      </c>
      <c r="N40" s="26" t="n">
        <v>0.01286855688326381</v>
      </c>
      <c r="O40" s="26" t="n">
        <v>0.03156215316315206</v>
      </c>
      <c r="P40" s="26" t="n">
        <v>0.3811839608053426</v>
      </c>
    </row>
    <row r="41">
      <c r="A41" s="27" t="inlineStr">
        <is>
          <t>R7.65</t>
        </is>
      </c>
      <c r="B41" s="27" t="inlineStr">
        <is>
          <t>sensitive</t>
        </is>
      </c>
      <c r="C41" s="28" t="inlineStr">
        <is>
          <t>champion_1k_bootstrap</t>
        </is>
      </c>
      <c r="D41" s="28" t="inlineStr">
        <is>
          <t>8 holdouts (5 complete for F2)</t>
        </is>
      </c>
      <c r="E41" s="27" t="inlineStr">
        <is>
          <t>T1</t>
        </is>
      </c>
      <c r="F41" s="28" t="inlineStr">
        <is>
          <t>pii2_eval_30k / sensitive_pii_social_security_number</t>
        </is>
      </c>
      <c r="G41" s="29" t="n">
        <v>237</v>
      </c>
      <c r="H41" s="29" t="n">
        <v>29351</v>
      </c>
      <c r="I41" s="29" t="n">
        <v>236</v>
      </c>
      <c r="J41" s="29" t="n">
        <v>1</v>
      </c>
      <c r="K41" s="29" t="n">
        <v>29115</v>
      </c>
      <c r="L41" s="30" t="n">
        <v>0.008040611904194065</v>
      </c>
      <c r="M41" s="30" t="n">
        <v>0.9957805907172996</v>
      </c>
      <c r="N41" s="30" t="n">
        <v>0.01595241314046235</v>
      </c>
      <c r="O41" s="30" t="n">
        <v>0.03894517970890128</v>
      </c>
      <c r="P41" s="30" t="n">
        <v>0.3811839608053426</v>
      </c>
    </row>
    <row r="42">
      <c r="A42" t="inlineStr">
        <is>
          <t>R7.65</t>
        </is>
      </c>
      <c r="B42" t="inlineStr">
        <is>
          <t>sensitive</t>
        </is>
      </c>
      <c r="C42" s="24" t="inlineStr">
        <is>
          <t>champion_1k_bootstrap</t>
        </is>
      </c>
      <c r="D42" s="24" t="inlineStr">
        <is>
          <t>8 holdouts (5 complete for F2)</t>
        </is>
      </c>
      <c r="E42" t="inlineStr">
        <is>
          <t>T1</t>
        </is>
      </c>
      <c r="F42" s="24" t="inlineStr">
        <is>
          <t>pii2_eval_30k / sensitive_pii_visa_number</t>
        </is>
      </c>
      <c r="G42" s="25" t="n">
        <v>227</v>
      </c>
      <c r="H42" s="25" t="n">
        <v>29229</v>
      </c>
      <c r="I42" s="25" t="n">
        <v>227</v>
      </c>
      <c r="J42" s="25" t="n">
        <v>0</v>
      </c>
      <c r="K42" s="25" t="n">
        <v>29002</v>
      </c>
      <c r="L42" s="26" t="n">
        <v>0.007766259536761436</v>
      </c>
      <c r="M42" s="26" t="n">
        <v>1</v>
      </c>
      <c r="N42" s="26" t="n">
        <v>0.01541281912004346</v>
      </c>
      <c r="O42" s="26" t="n">
        <v>0.03766134651756977</v>
      </c>
      <c r="P42" s="26" t="n">
        <v>0.3811839608053426</v>
      </c>
    </row>
    <row r="43">
      <c r="A43" s="27" t="inlineStr">
        <is>
          <t>R7.65</t>
        </is>
      </c>
      <c r="B43" s="27" t="inlineStr">
        <is>
          <t>sensitive</t>
        </is>
      </c>
      <c r="C43" s="28" t="inlineStr">
        <is>
          <t>champion_1k_bootstrap</t>
        </is>
      </c>
      <c r="D43" s="28" t="inlineStr">
        <is>
          <t>8 holdouts (5 complete for F2)</t>
        </is>
      </c>
      <c r="E43" s="27" t="inlineStr">
        <is>
          <t>T1</t>
        </is>
      </c>
      <c r="F43" s="28" t="inlineStr">
        <is>
          <t>pii_holdout_20k / sensitive_pci_bank_account_number</t>
        </is>
      </c>
      <c r="G43" s="29" t="n">
        <v>591</v>
      </c>
      <c r="H43" s="29" t="n">
        <v>16820</v>
      </c>
      <c r="I43" s="29" t="n">
        <v>590</v>
      </c>
      <c r="J43" s="29" t="n">
        <v>1</v>
      </c>
      <c r="K43" s="29" t="n">
        <v>16230</v>
      </c>
      <c r="L43" s="30" t="n">
        <v>0.03507728894173603</v>
      </c>
      <c r="M43" s="30" t="n">
        <v>0.9983079526226735</v>
      </c>
      <c r="N43" s="30" t="n">
        <v>0.06777324679800126</v>
      </c>
      <c r="O43" s="30" t="n">
        <v>0.1537739783152627</v>
      </c>
      <c r="P43" s="30" t="n">
        <v>0.3811839608053426</v>
      </c>
    </row>
    <row r="44">
      <c r="A44" t="inlineStr">
        <is>
          <t>R7.65</t>
        </is>
      </c>
      <c r="B44" t="inlineStr">
        <is>
          <t>sensitive</t>
        </is>
      </c>
      <c r="C44" s="24" t="inlineStr">
        <is>
          <t>champion_1k_bootstrap</t>
        </is>
      </c>
      <c r="D44" s="24" t="inlineStr">
        <is>
          <t>8 holdouts (5 complete for F2)</t>
        </is>
      </c>
      <c r="E44" t="inlineStr">
        <is>
          <t>T1</t>
        </is>
      </c>
      <c r="F44" s="24" t="inlineStr">
        <is>
          <t>pii_holdout_20k / sensitive_pci_credit_card_number</t>
        </is>
      </c>
      <c r="G44" s="25" t="n">
        <v>2415</v>
      </c>
      <c r="H44" s="25" t="n">
        <v>19374</v>
      </c>
      <c r="I44" s="25" t="n">
        <v>2415</v>
      </c>
      <c r="J44" s="25" t="n">
        <v>0</v>
      </c>
      <c r="K44" s="25" t="n">
        <v>16959</v>
      </c>
      <c r="L44" s="26" t="n">
        <v>0.1246515949210282</v>
      </c>
      <c r="M44" s="26" t="n">
        <v>1</v>
      </c>
      <c r="N44" s="26" t="n">
        <v>0.2216714856120061</v>
      </c>
      <c r="O44" s="26" t="n">
        <v>0.4158917131638769</v>
      </c>
      <c r="P44" s="26" t="n">
        <v>0.3811839608053426</v>
      </c>
    </row>
    <row r="45">
      <c r="A45" s="27" t="inlineStr">
        <is>
          <t>R7.65</t>
        </is>
      </c>
      <c r="B45" s="27" t="inlineStr">
        <is>
          <t>sensitive</t>
        </is>
      </c>
      <c r="C45" s="28" t="inlineStr">
        <is>
          <t>champion_1k_bootstrap</t>
        </is>
      </c>
      <c r="D45" s="28" t="inlineStr">
        <is>
          <t>8 holdouts (5 complete for F2)</t>
        </is>
      </c>
      <c r="E45" s="27" t="inlineStr">
        <is>
          <t>T1</t>
        </is>
      </c>
      <c r="F45" s="28" t="inlineStr">
        <is>
          <t>pii_holdout_20k / sensitive_pci_individual_taxpayer_identification_number_itin</t>
        </is>
      </c>
      <c r="G45" s="29" t="n">
        <v>2637</v>
      </c>
      <c r="H45" s="29" t="n">
        <v>19598</v>
      </c>
      <c r="I45" s="29" t="n">
        <v>2637</v>
      </c>
      <c r="J45" s="29" t="n">
        <v>0</v>
      </c>
      <c r="K45" s="29" t="n">
        <v>16961</v>
      </c>
      <c r="L45" s="30" t="n">
        <v>0.1345545463822839</v>
      </c>
      <c r="M45" s="30" t="n">
        <v>1</v>
      </c>
      <c r="N45" s="30" t="n">
        <v>0.2371936136721385</v>
      </c>
      <c r="O45" s="30" t="n">
        <v>0.4373714589000199</v>
      </c>
      <c r="P45" s="30" t="n">
        <v>0.3811839608053426</v>
      </c>
    </row>
    <row r="46">
      <c r="A46" t="inlineStr">
        <is>
          <t>R7.65</t>
        </is>
      </c>
      <c r="B46" t="inlineStr">
        <is>
          <t>sensitive</t>
        </is>
      </c>
      <c r="C46" s="24" t="inlineStr">
        <is>
          <t>champion_1k_bootstrap</t>
        </is>
      </c>
      <c r="D46" s="24" t="inlineStr">
        <is>
          <t>8 holdouts (5 complete for F2)</t>
        </is>
      </c>
      <c r="E46" t="inlineStr">
        <is>
          <t>T1</t>
        </is>
      </c>
      <c r="F46" s="24" t="inlineStr">
        <is>
          <t>pii_holdout_20k / sensitive_phi_health_plan_beneficiary_number</t>
        </is>
      </c>
      <c r="G46" s="25" t="n">
        <v>354</v>
      </c>
      <c r="H46" s="25" t="n">
        <v>18382</v>
      </c>
      <c r="I46" s="25" t="n">
        <v>352</v>
      </c>
      <c r="J46" s="25" t="n">
        <v>2</v>
      </c>
      <c r="K46" s="25" t="n">
        <v>18030</v>
      </c>
      <c r="L46" s="26" t="n">
        <v>0.01914916766401915</v>
      </c>
      <c r="M46" s="26" t="n">
        <v>0.9943502824858758</v>
      </c>
      <c r="N46" s="26" t="n">
        <v>0.03757472245943638</v>
      </c>
      <c r="O46" s="26" t="n">
        <v>0.08889786847156279</v>
      </c>
      <c r="P46" s="26" t="n">
        <v>0.3811839608053426</v>
      </c>
    </row>
    <row r="47">
      <c r="A47" s="27" t="inlineStr">
        <is>
          <t>R7.65</t>
        </is>
      </c>
      <c r="B47" s="27" t="inlineStr">
        <is>
          <t>sensitive</t>
        </is>
      </c>
      <c r="C47" s="28" t="inlineStr">
        <is>
          <t>champion_1k_bootstrap</t>
        </is>
      </c>
      <c r="D47" s="28" t="inlineStr">
        <is>
          <t>8 holdouts (5 complete for F2)</t>
        </is>
      </c>
      <c r="E47" s="27" t="inlineStr">
        <is>
          <t>T1</t>
        </is>
      </c>
      <c r="F47" s="28" t="inlineStr">
        <is>
          <t>pii_holdout_20k / sensitive_phi_medical_record_number_mrn</t>
        </is>
      </c>
      <c r="G47" s="29" t="n">
        <v>418</v>
      </c>
      <c r="H47" s="29" t="n">
        <v>19998</v>
      </c>
      <c r="I47" s="29" t="n">
        <v>418</v>
      </c>
      <c r="J47" s="29" t="n">
        <v>0</v>
      </c>
      <c r="K47" s="29" t="n">
        <v>19580</v>
      </c>
      <c r="L47" s="30" t="n">
        <v>0.0209020902090209</v>
      </c>
      <c r="M47" s="30" t="n">
        <v>1</v>
      </c>
      <c r="N47" s="30" t="n">
        <v>0.04094827586206896</v>
      </c>
      <c r="O47" s="30" t="n">
        <v>0.09644670050761421</v>
      </c>
      <c r="P47" s="30" t="n">
        <v>0.3811839608053426</v>
      </c>
    </row>
    <row r="48">
      <c r="A48" t="inlineStr">
        <is>
          <t>R7.65</t>
        </is>
      </c>
      <c r="B48" t="inlineStr">
        <is>
          <t>sensitive</t>
        </is>
      </c>
      <c r="C48" s="24" t="inlineStr">
        <is>
          <t>champion_1k_bootstrap</t>
        </is>
      </c>
      <c r="D48" s="24" t="inlineStr">
        <is>
          <t>8 holdouts (5 complete for F2)</t>
        </is>
      </c>
      <c r="E48" t="inlineStr">
        <is>
          <t>T1</t>
        </is>
      </c>
      <c r="F48" s="24" t="inlineStr">
        <is>
          <t>pii_holdout_20k / sensitive_pii_address</t>
        </is>
      </c>
      <c r="G48" s="25" t="n">
        <v>4629</v>
      </c>
      <c r="H48" s="25" t="n">
        <v>19986</v>
      </c>
      <c r="I48" s="25" t="n">
        <v>4624</v>
      </c>
      <c r="J48" s="25" t="n">
        <v>5</v>
      </c>
      <c r="K48" s="25" t="n">
        <v>15362</v>
      </c>
      <c r="L48" s="26" t="n">
        <v>0.2313619533673572</v>
      </c>
      <c r="M48" s="26" t="n">
        <v>0.9989198531000216</v>
      </c>
      <c r="N48" s="26" t="n">
        <v>0.3757058704042251</v>
      </c>
      <c r="O48" s="26" t="n">
        <v>0.6004882863227884</v>
      </c>
      <c r="P48" s="26" t="n">
        <v>0.3811839608053426</v>
      </c>
    </row>
    <row r="49">
      <c r="A49" s="27" t="inlineStr">
        <is>
          <t>R7.65</t>
        </is>
      </c>
      <c r="B49" s="27" t="inlineStr">
        <is>
          <t>sensitive</t>
        </is>
      </c>
      <c r="C49" s="28" t="inlineStr">
        <is>
          <t>champion_1k_bootstrap</t>
        </is>
      </c>
      <c r="D49" s="28" t="inlineStr">
        <is>
          <t>8 holdouts (5 complete for F2)</t>
        </is>
      </c>
      <c r="E49" s="27" t="inlineStr">
        <is>
          <t>T1</t>
        </is>
      </c>
      <c r="F49" s="28" t="inlineStr">
        <is>
          <t>pii_holdout_20k / sensitive_pii_driver_s_license_number</t>
        </is>
      </c>
      <c r="G49" s="29" t="n">
        <v>2808</v>
      </c>
      <c r="H49" s="29" t="n">
        <v>19885</v>
      </c>
      <c r="I49" s="29" t="n">
        <v>2808</v>
      </c>
      <c r="J49" s="29" t="n">
        <v>0</v>
      </c>
      <c r="K49" s="29" t="n">
        <v>17077</v>
      </c>
      <c r="L49" s="30" t="n">
        <v>0.1412119688207191</v>
      </c>
      <c r="M49" s="30" t="n">
        <v>1</v>
      </c>
      <c r="N49" s="30" t="n">
        <v>0.2474771956109813</v>
      </c>
      <c r="O49" s="30" t="n">
        <v>0.4512003085130315</v>
      </c>
      <c r="P49" s="30" t="n">
        <v>0.3811839608053426</v>
      </c>
    </row>
    <row r="50">
      <c r="A50" t="inlineStr">
        <is>
          <t>R7.65</t>
        </is>
      </c>
      <c r="B50" t="inlineStr">
        <is>
          <t>sensitive</t>
        </is>
      </c>
      <c r="C50" s="24" t="inlineStr">
        <is>
          <t>champion_1k_bootstrap</t>
        </is>
      </c>
      <c r="D50" s="24" t="inlineStr">
        <is>
          <t>8 holdouts (5 complete for F2)</t>
        </is>
      </c>
      <c r="E50" t="inlineStr">
        <is>
          <t>T1</t>
        </is>
      </c>
      <c r="F50" s="24" t="inlineStr">
        <is>
          <t>pii_holdout_20k / sensitive_pii_full_name</t>
        </is>
      </c>
      <c r="G50" s="25" t="n">
        <v>7836</v>
      </c>
      <c r="H50" s="25" t="n">
        <v>19984</v>
      </c>
      <c r="I50" s="25" t="n">
        <v>7831</v>
      </c>
      <c r="J50" s="25" t="n">
        <v>5</v>
      </c>
      <c r="K50" s="25" t="n">
        <v>12153</v>
      </c>
      <c r="L50" s="26" t="n">
        <v>0.3918634907926341</v>
      </c>
      <c r="M50" s="26" t="n">
        <v>0.9993619193466055</v>
      </c>
      <c r="N50" s="26" t="n">
        <v>0.5629762760603882</v>
      </c>
      <c r="O50" s="26" t="n">
        <v>0.7628389962593516</v>
      </c>
      <c r="P50" s="26" t="n">
        <v>0.3811839608053426</v>
      </c>
    </row>
    <row r="51">
      <c r="A51" s="27" t="inlineStr">
        <is>
          <t>R7.65</t>
        </is>
      </c>
      <c r="B51" s="27" t="inlineStr">
        <is>
          <t>sensitive</t>
        </is>
      </c>
      <c r="C51" s="28" t="inlineStr">
        <is>
          <t>champion_1k_bootstrap</t>
        </is>
      </c>
      <c r="D51" s="28" t="inlineStr">
        <is>
          <t>8 holdouts (5 complete for F2)</t>
        </is>
      </c>
      <c r="E51" s="27" t="inlineStr">
        <is>
          <t>T1</t>
        </is>
      </c>
      <c r="F51" s="28" t="inlineStr">
        <is>
          <t>pii_holdout_20k / sensitive_pii_military_identification_number</t>
        </is>
      </c>
      <c r="G51" s="29" t="n">
        <v>4327</v>
      </c>
      <c r="H51" s="29" t="n">
        <v>19598</v>
      </c>
      <c r="I51" s="29" t="n">
        <v>4327</v>
      </c>
      <c r="J51" s="29" t="n">
        <v>0</v>
      </c>
      <c r="K51" s="29" t="n">
        <v>15271</v>
      </c>
      <c r="L51" s="30" t="n">
        <v>0.2207878354934177</v>
      </c>
      <c r="M51" s="30" t="n">
        <v>1</v>
      </c>
      <c r="N51" s="30" t="n">
        <v>0.3617136886102403</v>
      </c>
      <c r="O51" s="30" t="n">
        <v>0.5862190429740421</v>
      </c>
      <c r="P51" s="30" t="n">
        <v>0.3811839608053426</v>
      </c>
    </row>
    <row r="52">
      <c r="A52" t="inlineStr">
        <is>
          <t>R7.65</t>
        </is>
      </c>
      <c r="B52" t="inlineStr">
        <is>
          <t>sensitive</t>
        </is>
      </c>
      <c r="C52" s="24" t="inlineStr">
        <is>
          <t>champion_1k_bootstrap</t>
        </is>
      </c>
      <c r="D52" s="24" t="inlineStr">
        <is>
          <t>8 holdouts (5 complete for F2)</t>
        </is>
      </c>
      <c r="E52" t="inlineStr">
        <is>
          <t>T1</t>
        </is>
      </c>
      <c r="F52" s="24" t="inlineStr">
        <is>
          <t>pii_holdout_20k / sensitive_pii_passport_number</t>
        </is>
      </c>
      <c r="G52" s="25" t="n">
        <v>4327</v>
      </c>
      <c r="H52" s="25" t="n">
        <v>19588</v>
      </c>
      <c r="I52" s="25" t="n">
        <v>4327</v>
      </c>
      <c r="J52" s="25" t="n">
        <v>0</v>
      </c>
      <c r="K52" s="25" t="n">
        <v>15261</v>
      </c>
      <c r="L52" s="26" t="n">
        <v>0.2209005513579743</v>
      </c>
      <c r="M52" s="26" t="n">
        <v>1</v>
      </c>
      <c r="N52" s="26" t="n">
        <v>0.3618649383232281</v>
      </c>
      <c r="O52" s="26" t="n">
        <v>0.5863779271465741</v>
      </c>
      <c r="P52" s="26" t="n">
        <v>0.3811839608053426</v>
      </c>
    </row>
    <row r="53">
      <c r="A53" s="27" t="inlineStr">
        <is>
          <t>R7.65</t>
        </is>
      </c>
      <c r="B53" s="27" t="inlineStr">
        <is>
          <t>sensitive</t>
        </is>
      </c>
      <c r="C53" s="28" t="inlineStr">
        <is>
          <t>champion_1k_bootstrap</t>
        </is>
      </c>
      <c r="D53" s="28" t="inlineStr">
        <is>
          <t>8 holdouts (5 complete for F2)</t>
        </is>
      </c>
      <c r="E53" s="27" t="inlineStr">
        <is>
          <t>T1</t>
        </is>
      </c>
      <c r="F53" s="28" t="inlineStr">
        <is>
          <t>pii_holdout_20k / sensitive_pii_password</t>
        </is>
      </c>
      <c r="G53" s="29" t="n">
        <v>232</v>
      </c>
      <c r="H53" s="29" t="n">
        <v>19983</v>
      </c>
      <c r="I53" s="29" t="n">
        <v>232</v>
      </c>
      <c r="J53" s="29" t="n">
        <v>0</v>
      </c>
      <c r="K53" s="29" t="n">
        <v>19751</v>
      </c>
      <c r="L53" s="30" t="n">
        <v>0.01160986838812991</v>
      </c>
      <c r="M53" s="30" t="n">
        <v>1</v>
      </c>
      <c r="N53" s="30" t="n">
        <v>0.02295325253524611</v>
      </c>
      <c r="O53" s="30" t="n">
        <v>0.05547319592558941</v>
      </c>
      <c r="P53" s="30" t="n">
        <v>0.3811839608053426</v>
      </c>
    </row>
    <row r="54">
      <c r="A54" t="inlineStr">
        <is>
          <t>R7.65</t>
        </is>
      </c>
      <c r="B54" t="inlineStr">
        <is>
          <t>sensitive</t>
        </is>
      </c>
      <c r="C54" s="24" t="inlineStr">
        <is>
          <t>champion_1k_bootstrap</t>
        </is>
      </c>
      <c r="D54" s="24" t="inlineStr">
        <is>
          <t>8 holdouts (5 complete for F2)</t>
        </is>
      </c>
      <c r="E54" t="inlineStr">
        <is>
          <t>T1</t>
        </is>
      </c>
      <c r="F54" s="24" t="inlineStr">
        <is>
          <t>pii_holdout_20k / sensitive_pii_personal_identification_number_pin</t>
        </is>
      </c>
      <c r="G54" s="25" t="n">
        <v>286</v>
      </c>
      <c r="H54" s="25" t="n">
        <v>19632</v>
      </c>
      <c r="I54" s="25" t="n">
        <v>286</v>
      </c>
      <c r="J54" s="25" t="n">
        <v>0</v>
      </c>
      <c r="K54" s="25" t="n">
        <v>19346</v>
      </c>
      <c r="L54" s="26" t="n">
        <v>0.0145680521597392</v>
      </c>
      <c r="M54" s="26" t="n">
        <v>1</v>
      </c>
      <c r="N54" s="26" t="n">
        <v>0.02871774274525555</v>
      </c>
      <c r="O54" s="26" t="n">
        <v>0.06882941855987677</v>
      </c>
      <c r="P54" s="26" t="n">
        <v>0.3811839608053426</v>
      </c>
    </row>
    <row r="55">
      <c r="A55" s="27" t="inlineStr">
        <is>
          <t>R7.65</t>
        </is>
      </c>
      <c r="B55" s="27" t="inlineStr">
        <is>
          <t>sensitive</t>
        </is>
      </c>
      <c r="C55" s="28" t="inlineStr">
        <is>
          <t>champion_1k_bootstrap</t>
        </is>
      </c>
      <c r="D55" s="28" t="inlineStr">
        <is>
          <t>8 holdouts (5 complete for F2)</t>
        </is>
      </c>
      <c r="E55" s="27" t="inlineStr">
        <is>
          <t>T1</t>
        </is>
      </c>
      <c r="F55" s="28" t="inlineStr">
        <is>
          <t>pii_holdout_20k / sensitive_pii_social_security_number</t>
        </is>
      </c>
      <c r="G55" s="29" t="n">
        <v>3166</v>
      </c>
      <c r="H55" s="29" t="n">
        <v>19662</v>
      </c>
      <c r="I55" s="29" t="n">
        <v>3166</v>
      </c>
      <c r="J55" s="29" t="n">
        <v>0</v>
      </c>
      <c r="K55" s="29" t="n">
        <v>16496</v>
      </c>
      <c r="L55" s="30" t="n">
        <v>0.1610212592818635</v>
      </c>
      <c r="M55" s="30" t="n">
        <v>1</v>
      </c>
      <c r="N55" s="30" t="n">
        <v>0.2773786577886806</v>
      </c>
      <c r="O55" s="30" t="n">
        <v>0.4896986945492792</v>
      </c>
      <c r="P55" s="30" t="n">
        <v>0.3811839608053426</v>
      </c>
    </row>
    <row r="56">
      <c r="A56" t="inlineStr">
        <is>
          <t>R7.65</t>
        </is>
      </c>
      <c r="B56" t="inlineStr">
        <is>
          <t>sensitive</t>
        </is>
      </c>
      <c r="C56" s="24" t="inlineStr">
        <is>
          <t>champion_1k_bootstrap</t>
        </is>
      </c>
      <c r="D56" s="24" t="inlineStr">
        <is>
          <t>8 holdouts (5 complete for F2)</t>
        </is>
      </c>
      <c r="E56" t="inlineStr">
        <is>
          <t>T1</t>
        </is>
      </c>
      <c r="F56" s="24" t="inlineStr">
        <is>
          <t>pii_holdout_20k / sensitive_pii_visa_number</t>
        </is>
      </c>
      <c r="G56" s="25" t="n">
        <v>4327</v>
      </c>
      <c r="H56" s="25" t="n">
        <v>19600</v>
      </c>
      <c r="I56" s="25" t="n">
        <v>4327</v>
      </c>
      <c r="J56" s="25" t="n">
        <v>0</v>
      </c>
      <c r="K56" s="25" t="n">
        <v>15273</v>
      </c>
      <c r="L56" s="26" t="n">
        <v>0.220765306122449</v>
      </c>
      <c r="M56" s="26" t="n">
        <v>1</v>
      </c>
      <c r="N56" s="26" t="n">
        <v>0.3616834538387595</v>
      </c>
      <c r="O56" s="26" t="n">
        <v>0.5861872764712258</v>
      </c>
      <c r="P56" s="26" t="n">
        <v>0.3811839608053426</v>
      </c>
    </row>
  </sheetData>
  <autoFilter ref="A1:P5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4" customWidth="1" min="3" max="3"/>
    <col width="20" customWidth="1" min="4" max="4"/>
    <col width="11" customWidth="1" min="5" max="5"/>
    <col width="12" customWidth="1" min="6" max="6"/>
    <col width="13" customWidth="1" min="7" max="7"/>
    <col width="18" customWidth="1" min="8" max="8"/>
    <col width="20" customWidth="1" min="9" max="9"/>
    <col width="14" customWidth="1" min="10" max="10"/>
    <col width="20" customWidth="1" min="11" max="11"/>
  </cols>
  <sheetData>
    <row r="1" ht="30" customHeight="1">
      <c r="A1" s="1" t="inlineStr">
        <is>
          <t>Dataset</t>
        </is>
      </c>
      <c r="B1" s="1" t="inlineStr">
        <is>
          <t>Used by track(s)</t>
        </is>
      </c>
      <c r="C1" s="1" t="inlineStr">
        <is>
          <t>Size (# examples)</t>
        </is>
      </c>
      <c r="D1" s="1" t="inlineStr">
        <is>
          <t>Class balance ratio</t>
        </is>
      </c>
      <c r="E1" s="1" t="inlineStr">
        <is>
          <t>Missing rate</t>
        </is>
      </c>
      <c r="F1" s="1" t="inlineStr">
        <is>
          <t>Duplicate rate</t>
        </is>
      </c>
      <c r="G1" s="1" t="inlineStr">
        <is>
          <t>Label noise rate</t>
        </is>
      </c>
      <c r="H1" s="1" t="inlineStr">
        <is>
          <t>Train/eval leakage</t>
        </is>
      </c>
      <c r="I1" s="1" t="inlineStr">
        <is>
          <t>Contamination risk</t>
        </is>
      </c>
      <c r="J1" s="1" t="inlineStr">
        <is>
          <t>Real/synth mix</t>
        </is>
      </c>
      <c r="K1" s="1" t="inlineStr">
        <is>
          <t>Status</t>
        </is>
      </c>
    </row>
    <row r="2" ht="28" customHeight="1">
      <c r="A2" s="31" t="inlineStr">
        <is>
          <t>holdout20k</t>
        </is>
      </c>
      <c r="B2" s="31" t="inlineStr">
        <is>
          <t>sensitive</t>
        </is>
      </c>
      <c r="C2" s="31" t="n">
        <v>20000</v>
      </c>
      <c r="D2" s="24" t="inlineStr">
        <is>
          <t>56 tags, 7.93 gold tags per document; every document has at least one gold tag - there are no negatives</t>
        </is>
      </c>
      <c r="E2" s="31" t="n">
        <v>0</v>
      </c>
      <c r="F2" s="31" t="n">
        <v>0.0187</v>
      </c>
      <c r="G2" s="31" t="inlineStr">
        <is>
          <t>validated extraction (regex + context gates, or structured metadata) for 98.7% of it; only tab_echr_en (215) and mapa_eurlex (34) carry human expert annotation</t>
        </is>
      </c>
      <c r="H2" s="24" t="n">
        <v>1642</v>
      </c>
      <c r="I2" s="24" t="inlineStr">
        <is>
          <t>n/a - private corpus, not a public benchmark. The Ettin-17 teacher was fine-tuned on Nemotron-PII, which is 25% of this set's provenance, so the encoder has seen that distribution.</t>
        </is>
      </c>
      <c r="J2" s="31" t="inlineStr">
        <is>
          <t>50% real / 50% synthetic</t>
        </is>
      </c>
      <c r="K2" s="31">
        <f>IF(H2="","NOT ASSESSED",IF(H2&gt;0,"FAIL - leakage detected","OK"))</f>
        <v/>
      </c>
    </row>
    <row r="3" ht="28" customHeight="1">
      <c r="A3" s="32" t="inlineStr">
        <is>
          <t>test100k</t>
        </is>
      </c>
      <c r="B3" s="32" t="inlineStr">
        <is>
          <t>sensitive</t>
        </is>
      </c>
      <c r="C3" s="32" t="n">
        <v>10000</v>
      </c>
      <c r="D3" s="28" t="inlineStr">
        <is>
          <t>58 tags; no negatives</t>
        </is>
      </c>
      <c r="E3" s="32" t="n">
        <v>0</v>
      </c>
      <c r="F3" s="32" t="n">
        <v>0.0106</v>
      </c>
      <c r="G3" s="32" t="inlineStr">
        <is>
          <t>as above</t>
        </is>
      </c>
      <c r="H3" s="28" t="n">
        <v>787</v>
      </c>
      <c r="I3" s="28" t="inlineStr">
        <is>
          <t>n/a - private corpus</t>
        </is>
      </c>
      <c r="J3" s="32" t="inlineStr">
        <is>
          <t>50% real / 50% synthetic</t>
        </is>
      </c>
      <c r="K3" s="32">
        <f>IF(H3="","NOT ASSESSED",IF(H3&gt;0,"FAIL - leakage detected","OK"))</f>
        <v/>
      </c>
    </row>
    <row r="4" ht="28" customHeight="1">
      <c r="A4" s="31" t="inlineStr">
        <is>
          <t>val100k</t>
        </is>
      </c>
      <c r="B4" s="31" t="inlineStr">
        <is>
          <t>sensitive</t>
        </is>
      </c>
      <c r="C4" s="31" t="n">
        <v>10000</v>
      </c>
      <c r="D4" s="24" t="inlineStr">
        <is>
          <t>58 tags; no negatives</t>
        </is>
      </c>
      <c r="E4" s="31" t="n">
        <v>0</v>
      </c>
      <c r="F4" s="31" t="n">
        <v>0.0116</v>
      </c>
      <c r="G4" s="31" t="inlineStr">
        <is>
          <t>as above</t>
        </is>
      </c>
      <c r="H4" s="24" t="n">
        <v>863</v>
      </c>
      <c r="I4" s="24" t="inlineStr">
        <is>
          <t>n/a - private corpus</t>
        </is>
      </c>
      <c r="J4" s="31" t="inlineStr">
        <is>
          <t>50% real / 50% synthetic</t>
        </is>
      </c>
      <c r="K4" s="31">
        <f>IF(H4="","NOT ASSESSED",IF(H4&gt;0,"FAIL - leakage detected","OK"))</f>
        <v/>
      </c>
    </row>
    <row r="5" ht="28" customHeight="1">
      <c r="A5" s="32" t="inlineStr">
        <is>
          <t>datax_eval</t>
        </is>
      </c>
      <c r="B5" s="32" t="inlineStr">
        <is>
          <t>sensitive</t>
        </is>
      </c>
      <c r="C5" s="32" t="n">
        <v>1392</v>
      </c>
      <c r="D5" s="28" t="inlineStr">
        <is>
          <t>39 tags; 49.7% negatives</t>
        </is>
      </c>
      <c r="E5" s="32" t="n">
        <v>0</v>
      </c>
      <c r="F5" s="32" t="inlineStr">
        <is>
          <t>not separately measured</t>
        </is>
      </c>
      <c r="G5" s="32" t="inlineStr">
        <is>
          <t>dual-judge agreement; `disputed` dropped</t>
        </is>
      </c>
      <c r="H5" s="28" t="n">
        <v>0</v>
      </c>
      <c r="I5" s="28" t="inlineStr">
        <is>
          <t>n/a - private corpus</t>
        </is>
      </c>
      <c r="J5" s="32" t="inlineStr">
        <is>
          <t>100% real</t>
        </is>
      </c>
      <c r="K5" s="32">
        <f>IF(H5="","NOT ASSESSED",IF(H5&gt;0,"FAIL - leakage detected","OK"))</f>
        <v/>
      </c>
    </row>
    <row r="6" ht="28" customHeight="1">
      <c r="A6" s="31" t="inlineStr">
        <is>
          <t>govdocs2_eval20</t>
        </is>
      </c>
      <c r="B6" s="31" t="inlineStr">
        <is>
          <t>sensitive</t>
        </is>
      </c>
      <c r="C6" s="31" t="n">
        <v>5935</v>
      </c>
      <c r="D6" s="24" t="inlineStr">
        <is>
          <t>38 tags; 45.3% negatives</t>
        </is>
      </c>
      <c r="E6" s="31" t="n">
        <v>0</v>
      </c>
      <c r="F6" s="31" t="inlineStr">
        <is>
          <t>not separately measured</t>
        </is>
      </c>
      <c r="G6" s="31" t="inlineStr">
        <is>
          <t>dual-judge agreement; `disputed` dropped</t>
        </is>
      </c>
      <c r="H6" s="24" t="n">
        <v>0</v>
      </c>
      <c r="I6" s="24" t="inlineStr">
        <is>
          <t>n/a - private corpus</t>
        </is>
      </c>
      <c r="J6" s="31" t="inlineStr">
        <is>
          <t>100% real</t>
        </is>
      </c>
      <c r="K6" s="31">
        <f>IF(H6="","NOT ASSESSED",IF(H6&gt;0,"FAIL - leakage detected","OK"))</f>
        <v/>
      </c>
    </row>
    <row r="7" ht="28" customHeight="1">
      <c r="A7" s="32" t="inlineStr">
        <is>
          <t>train100k</t>
        </is>
      </c>
      <c r="B7" s="32" t="inlineStr">
        <is>
          <t>sensitive</t>
        </is>
      </c>
      <c r="C7" s="32" t="n">
        <v>80000</v>
      </c>
      <c r="D7" s="28" t="inlineStr">
        <is>
          <t>59 tags; no negatives</t>
        </is>
      </c>
      <c r="E7" s="32" t="n">
        <v>0</v>
      </c>
      <c r="F7" s="32" t="n">
        <v>0.057175</v>
      </c>
      <c r="G7" s="32" t="inlineStr">
        <is>
          <t>same validated-extraction provenance as the holdout</t>
        </is>
      </c>
      <c r="H7" s="28" t="n">
        <v>4915</v>
      </c>
      <c r="I7" s="28" t="inlineStr">
        <is>
          <t>n/a - private corpus</t>
        </is>
      </c>
      <c r="J7" s="32" t="inlineStr">
        <is>
          <t>50% real / 50% synthetic</t>
        </is>
      </c>
      <c r="K7" s="32">
        <f>IF(H7="","NOT ASSESSED",IF(H7&gt;0,"FAIL - leakage detected","OK"))</f>
        <v/>
      </c>
    </row>
    <row r="8" ht="28" customHeight="1">
      <c r="A8" s="31" t="inlineStr">
        <is>
          <t>govdocs2_80</t>
        </is>
      </c>
      <c r="B8" s="31" t="inlineStr">
        <is>
          <t>sensitive</t>
        </is>
      </c>
      <c r="C8" s="31" t="n">
        <v>23498</v>
      </c>
      <c r="D8" s="24" t="inlineStr">
        <is>
          <t>47 tags; 45.9% of documents carry no sensitive tag</t>
        </is>
      </c>
      <c r="E8" s="31" t="n">
        <v>0</v>
      </c>
      <c r="F8" s="31" t="n">
        <v>0.006851646948676483</v>
      </c>
      <c r="G8" s="31" t="inlineStr">
        <is>
          <t>dual-judge agreement (gemini-3.6-flash + claude-opus-5); `disputed` rows dropped (2,592 of 26,095)</t>
        </is>
      </c>
      <c r="H8" s="24" t="n">
        <v>4146</v>
      </c>
      <c r="I8" s="24" t="inlineStr">
        <is>
          <t>n/a - private corpus</t>
        </is>
      </c>
      <c r="J8" s="31" t="inlineStr">
        <is>
          <t>100% real (govdocs2)</t>
        </is>
      </c>
      <c r="K8" s="31">
        <f>IF(H8="","NOT ASSESSED",IF(H8&gt;0,"FAIL - leakage detected","OK"))</f>
        <v/>
      </c>
    </row>
    <row r="9" ht="28" customHeight="1">
      <c r="A9" s="32" t="inlineStr">
        <is>
          <t>datax</t>
        </is>
      </c>
      <c r="B9" s="32" t="inlineStr">
        <is>
          <t>sensitive</t>
        </is>
      </c>
      <c r="C9" s="32" t="n">
        <v>11375</v>
      </c>
      <c r="D9" s="28" t="inlineStr">
        <is>
          <t>45 tags; 50.4% of documents carry no sensitive tag</t>
        </is>
      </c>
      <c r="E9" s="32" t="inlineStr">
        <is>
          <t>4,625 of 16,000 rows are `disputed` and were dropped; text extraction failed on none of the remainder</t>
        </is>
      </c>
      <c r="F9" s="32" t="n">
        <v>0.00210989010989011</v>
      </c>
      <c r="G9" s="32" t="inlineStr">
        <is>
          <t>dual-judge agreement (gemini + sonnet)</t>
        </is>
      </c>
      <c r="H9" s="28" t="n">
        <v>0</v>
      </c>
      <c r="I9" s="28" t="inlineStr">
        <is>
          <t>n/a - private corpus</t>
        </is>
      </c>
      <c r="J9" s="32" t="inlineStr">
        <is>
          <t>100% real (.docx, text extracted at load)</t>
        </is>
      </c>
      <c r="K9" s="32">
        <f>IF(H9="","NOT ASSESSED",IF(H9&gt;0,"FAIL - leakage detected","OK"))</f>
        <v/>
      </c>
    </row>
    <row r="10" ht="28" customHeight="1">
      <c r="A10" s="31" t="inlineStr">
        <is>
          <t>datax_eval_hf</t>
        </is>
      </c>
      <c r="B10" s="31" t="inlineStr">
        <is>
          <t>sensitive</t>
        </is>
      </c>
      <c r="C10" s="31" t="n">
        <v>2797</v>
      </c>
      <c r="D10" s="24" t="inlineStr">
        <is>
          <t>39 tags; 49.7% of documents carry no sensitive tag</t>
        </is>
      </c>
      <c r="E10" s="31" t="n">
        <v>0</v>
      </c>
      <c r="F10" s="31" t="inlineStr">
        <is>
          <t>not separately measured</t>
        </is>
      </c>
      <c r="G10" s="31" t="inlineStr">
        <is>
          <t>dual-judge agreement (gemini + sonnet); `disputed` dropped</t>
        </is>
      </c>
      <c r="H10" s="24" t="n">
        <v>0</v>
      </c>
      <c r="I10" s="24" t="inlineStr">
        <is>
          <t>n/a - private corpus</t>
        </is>
      </c>
      <c r="J10" s="31" t="inlineStr">
        <is>
          <t>100% real</t>
        </is>
      </c>
      <c r="K10" s="31">
        <f>IF(H10="","NOT ASSESSED",IF(H10&gt;0,"FAIL - leakage detected","OK"))</f>
        <v/>
      </c>
    </row>
    <row r="11" ht="28" customHeight="1">
      <c r="A11" s="32" t="inlineStr">
        <is>
          <t>datax_hf</t>
        </is>
      </c>
      <c r="B11" s="32" t="inlineStr">
        <is>
          <t>sensitive</t>
        </is>
      </c>
      <c r="C11" s="32" t="n">
        <v>11375</v>
      </c>
      <c r="D11" s="28" t="inlineStr">
        <is>
          <t>45 tags; 50.4% of documents carry no sensitive tag</t>
        </is>
      </c>
      <c r="E11" s="32" t="n">
        <v>0</v>
      </c>
      <c r="F11" s="32" t="n">
        <v>0.0021</v>
      </c>
      <c r="G11" s="32" t="inlineStr">
        <is>
          <t>dual-judge agreement (gemini + sonnet)</t>
        </is>
      </c>
      <c r="H11" s="28" t="n">
        <v>0</v>
      </c>
      <c r="I11" s="28" t="inlineStr">
        <is>
          <t>n/a - private corpus</t>
        </is>
      </c>
      <c r="J11" s="32" t="inlineStr">
        <is>
          <t>100% real</t>
        </is>
      </c>
      <c r="K11" s="32">
        <f>IF(H11="","NOT ASSESSED",IF(H11&gt;0,"FAIL - leakage detected","OK"))</f>
        <v/>
      </c>
    </row>
    <row r="12" ht="28" customHeight="1">
      <c r="A12" s="31" t="inlineStr">
        <is>
          <t>pii2_eval</t>
        </is>
      </c>
      <c r="B12" s="31" t="inlineStr">
        <is>
          <t>sensitive</t>
        </is>
      </c>
      <c r="C12" s="31" t="n">
        <v>30000</v>
      </c>
      <c r="D12" s="24" t="inlineStr">
        <is>
          <t>58 tags, 16.2% clean</t>
        </is>
      </c>
      <c r="E12" s="31" t="n">
        <v>0</v>
      </c>
      <c r="F12" s="31" t="n">
        <v>0</v>
      </c>
      <c r="G12" s="31" t="inlineStr">
        <is>
          <t>no single-judge labels; 1,520 documents human-annotated</t>
        </is>
      </c>
      <c r="H12" s="24" t="n">
        <v>0</v>
      </c>
      <c r="I12" s="24" t="inlineStr">
        <is>
          <t>n/a - private corpus</t>
        </is>
      </c>
      <c r="J12" s="31" t="inlineStr">
        <is>
          <t>90% real / 10% synthetic</t>
        </is>
      </c>
      <c r="K12" s="31">
        <f>IF(H12="","NOT ASSESSED",IF(H12&gt;0,"FAIL - leakage detected","OK"))</f>
        <v/>
      </c>
    </row>
    <row r="13" ht="28" customHeight="1">
      <c r="A13" s="32" t="inlineStr">
        <is>
          <t>pii2_train</t>
        </is>
      </c>
      <c r="B13" s="32" t="inlineStr">
        <is>
          <t>sensitive</t>
        </is>
      </c>
      <c r="C13" s="32" t="n">
        <v>150000</v>
      </c>
      <c r="D13" s="28" t="inlineStr">
        <is>
          <t>60 tags, 33.3% of documents carry no sensitive tag</t>
        </is>
      </c>
      <c r="E13" s="32" t="n">
        <v>0</v>
      </c>
      <c r="F13" s="32" t="n">
        <v>0</v>
      </c>
      <c r="G13" s="32" t="inlineStr">
        <is>
          <t>mixed and recorded per row: 62,000 single-judge (kappa 0.591 vs Opus, contact tags audited to precision 0.848), 42,283 validated extraction, 30,717 dual-judge, 15,000 known-answer synthetic</t>
        </is>
      </c>
      <c r="H13" s="28" t="n">
        <v>0</v>
      </c>
      <c r="I13" s="28" t="inlineStr">
        <is>
          <t>n/a - private corpus</t>
        </is>
      </c>
      <c r="J13" s="32" t="inlineStr">
        <is>
          <t>90% real / 10% synthetic</t>
        </is>
      </c>
      <c r="K13" s="32">
        <f>IF(H13="","NOT ASSESSED",IF(H13&gt;0,"FAIL - leakage detected","OK"))</f>
        <v/>
      </c>
    </row>
    <row r="14" ht="28" customHeight="1">
      <c r="A14" s="31" t="inlineStr">
        <is>
          <t>4000_datax-dualjudge-evalset-1.32k</t>
        </is>
      </c>
      <c r="B14" s="31" t="inlineStr">
        <is>
          <t>sensitive</t>
        </is>
      </c>
      <c r="C14" s="31" t="n"/>
      <c r="D14" s="24" t="n"/>
      <c r="E14" s="31" t="n">
        <v>0</v>
      </c>
      <c r="F14" s="31" t="n">
        <v>0</v>
      </c>
      <c r="G14" s="31" t="n"/>
      <c r="H14" s="24" t="n">
        <v>0</v>
      </c>
      <c r="I14" s="24" t="inlineStr">
        <is>
          <t>machine/synthetic labels and shared upstream sources; exact cross-split hash audit follows</t>
        </is>
      </c>
      <c r="J14" s="31" t="inlineStr">
        <is>
          <t>real business documents</t>
        </is>
      </c>
      <c r="K14" s="31">
        <f>IF(H14="","NOT ASSESSED",IF(H14&gt;0,"FAIL - leakage detected","OK"))</f>
        <v/>
      </c>
    </row>
    <row r="15" ht="28" customHeight="1">
      <c r="A15" s="32" t="inlineStr">
        <is>
          <t>6589_govdocs2-dualjudge-eval20-3.53k</t>
        </is>
      </c>
      <c r="B15" s="32" t="inlineStr">
        <is>
          <t>sensitive</t>
        </is>
      </c>
      <c r="C15" s="32" t="n"/>
      <c r="D15" s="28" t="n"/>
      <c r="E15" s="32" t="n">
        <v>0.001669449081803005</v>
      </c>
      <c r="F15" s="32" t="n">
        <v>0.003035361966914554</v>
      </c>
      <c r="G15" s="32" t="n"/>
      <c r="H15" s="28" t="n">
        <v>0</v>
      </c>
      <c r="I15" s="28" t="inlineStr">
        <is>
          <t>machine/synthetic labels and shared upstream sources; exact cross-split hash audit follows</t>
        </is>
      </c>
      <c r="J15" s="32" t="inlineStr">
        <is>
          <t>real business documents</t>
        </is>
      </c>
      <c r="K15" s="32">
        <f>IF(H15="","NOT ASSESSED",IF(H15&gt;0,"FAIL - leakage detected","OK"))</f>
        <v/>
      </c>
    </row>
    <row r="16" ht="28" customHeight="1">
      <c r="A16" s="31" t="inlineStr">
        <is>
          <t>ai4privacy_pii_masking_eval_10k</t>
        </is>
      </c>
      <c r="B16" s="31" t="inlineStr">
        <is>
          <t>sensitive</t>
        </is>
      </c>
      <c r="C16" s="31" t="n"/>
      <c r="D16" s="24" t="n"/>
      <c r="E16" s="31" t="n">
        <v>0</v>
      </c>
      <c r="F16" s="31" t="n">
        <v>0</v>
      </c>
      <c r="G16" s="31" t="n"/>
      <c r="H16" s="24" t="n">
        <v>0</v>
      </c>
      <c r="I16" s="24" t="inlineStr">
        <is>
          <t>machine/synthetic labels and shared upstream sources; exact cross-split hash audit follows</t>
        </is>
      </c>
      <c r="J16" s="31" t="inlineStr">
        <is>
          <t>synthetic</t>
        </is>
      </c>
      <c r="K16" s="31">
        <f>IF(H16="","NOT ASSESSED",IF(H16&gt;0,"FAIL - leakage detected","OK"))</f>
        <v/>
      </c>
    </row>
    <row r="17" ht="28" customHeight="1">
      <c r="A17" s="32" t="inlineStr">
        <is>
          <t>betterdataai_ner_silver_eval_10k</t>
        </is>
      </c>
      <c r="B17" s="32" t="inlineStr">
        <is>
          <t>sensitive</t>
        </is>
      </c>
      <c r="C17" s="32" t="n"/>
      <c r="D17" s="28" t="n"/>
      <c r="E17" s="32" t="n">
        <v>0</v>
      </c>
      <c r="F17" s="32" t="n">
        <v>0</v>
      </c>
      <c r="G17" s="32" t="n"/>
      <c r="H17" s="28" t="n">
        <v>0</v>
      </c>
      <c r="I17" s="28" t="inlineStr">
        <is>
          <t>machine/synthetic labels and shared upstream sources; exact cross-split hash audit follows</t>
        </is>
      </c>
      <c r="J17" s="32" t="inlineStr">
        <is>
          <t>synthetic</t>
        </is>
      </c>
      <c r="K17" s="32">
        <f>IF(H17="","NOT ASSESSED",IF(H17&gt;0,"FAIL - leakage detected","OK"))</f>
        <v/>
      </c>
    </row>
    <row r="18" ht="28" customHeight="1">
      <c r="A18" s="31" t="inlineStr">
        <is>
          <t>nemotron_eval_6k</t>
        </is>
      </c>
      <c r="B18" s="31" t="inlineStr">
        <is>
          <t>sensitive</t>
        </is>
      </c>
      <c r="C18" s="31" t="n"/>
      <c r="D18" s="24" t="n"/>
      <c r="E18" s="31" t="n">
        <v>0</v>
      </c>
      <c r="F18" s="31" t="n">
        <v>0</v>
      </c>
      <c r="G18" s="31" t="n"/>
      <c r="H18" s="24" t="n">
        <v>0</v>
      </c>
      <c r="I18" s="24" t="inlineStr">
        <is>
          <t>machine/synthetic labels and shared upstream sources; exact cross-split hash audit follows</t>
        </is>
      </c>
      <c r="J18" s="31" t="inlineStr">
        <is>
          <t>synthetic</t>
        </is>
      </c>
      <c r="K18" s="31">
        <f>IF(H18="","NOT ASSESSED",IF(H18&gt;0,"FAIL - leakage detected","OK"))</f>
        <v/>
      </c>
    </row>
    <row r="19" ht="28" customHeight="1">
      <c r="A19" s="32" t="inlineStr">
        <is>
          <t>openpii_pii_eval_38k</t>
        </is>
      </c>
      <c r="B19" s="32" t="inlineStr">
        <is>
          <t>sensitive</t>
        </is>
      </c>
      <c r="C19" s="32" t="n"/>
      <c r="D19" s="28" t="n"/>
      <c r="E19" s="32" t="n">
        <v>0</v>
      </c>
      <c r="F19" s="32" t="n">
        <v>0</v>
      </c>
      <c r="G19" s="32" t="n"/>
      <c r="H19" s="28" t="n">
        <v>0</v>
      </c>
      <c r="I19" s="28" t="inlineStr">
        <is>
          <t>machine/synthetic labels and shared upstream sources; exact cross-split hash audit follows</t>
        </is>
      </c>
      <c r="J19" s="32" t="inlineStr">
        <is>
          <t>mixed</t>
        </is>
      </c>
      <c r="K19" s="32">
        <f>IF(H19="","NOT ASSESSED",IF(H19&gt;0,"FAIL - leakage detected","OK"))</f>
        <v/>
      </c>
    </row>
    <row r="20" ht="28" customHeight="1">
      <c r="A20" s="31" t="inlineStr">
        <is>
          <t>pii2_eval_30k</t>
        </is>
      </c>
      <c r="B20" s="31" t="inlineStr">
        <is>
          <t>sensitive</t>
        </is>
      </c>
      <c r="C20" s="31" t="n"/>
      <c r="D20" s="24" t="n"/>
      <c r="E20" s="31" t="n">
        <v>0</v>
      </c>
      <c r="F20" s="31" t="n">
        <v>6.666666666666667e-05</v>
      </c>
      <c r="G20" s="31" t="n"/>
      <c r="H20" s="24" t="n">
        <v>0</v>
      </c>
      <c r="I20" s="24" t="inlineStr">
        <is>
          <t>machine/synthetic labels and shared upstream sources; exact cross-split hash audit follows</t>
        </is>
      </c>
      <c r="J20" s="31" t="inlineStr">
        <is>
          <t>mixed</t>
        </is>
      </c>
      <c r="K20" s="31">
        <f>IF(H20="","NOT ASSESSED",IF(H20&gt;0,"FAIL - leakage detected","OK"))</f>
        <v/>
      </c>
    </row>
    <row r="21" ht="28" customHeight="1">
      <c r="A21" s="32" t="inlineStr">
        <is>
          <t>pii_holdout_20k</t>
        </is>
      </c>
      <c r="B21" s="32" t="inlineStr">
        <is>
          <t>sensitive</t>
        </is>
      </c>
      <c r="C21" s="32" t="n"/>
      <c r="D21" s="28" t="n"/>
      <c r="E21" s="32" t="n">
        <v>0</v>
      </c>
      <c r="F21" s="32" t="n">
        <v>0.01885</v>
      </c>
      <c r="G21" s="32" t="n"/>
      <c r="H21" s="28" t="n">
        <v>0</v>
      </c>
      <c r="I21" s="28" t="inlineStr">
        <is>
          <t>machine/synthetic labels and shared upstream sources; exact cross-split hash audit follows</t>
        </is>
      </c>
      <c r="J21" s="32" t="inlineStr">
        <is>
          <t>mixed</t>
        </is>
      </c>
      <c r="K21" s="32">
        <f>IF(H21="","NOT ASSESSED",IF(H21&gt;0,"FAIL - leakage detected","OK"))</f>
        <v/>
      </c>
    </row>
    <row r="22" ht="28" customHeight="1">
      <c r="A22" s="31" t="inlineStr">
        <is>
          <t>8 holdouts (5 complete for F2)</t>
        </is>
      </c>
      <c r="B22" s="31" t="inlineStr">
        <is>
          <t>sensitive</t>
        </is>
      </c>
      <c r="C22" s="31" t="n">
        <v>126129</v>
      </c>
      <c r="D22" s="24" t="n"/>
      <c r="E22" s="31" t="n">
        <v>0.001669449081803005</v>
      </c>
      <c r="F22" s="31" t="n">
        <v>0.01885</v>
      </c>
      <c r="G22" s="31" t="n"/>
      <c r="H22" s="24" t="n">
        <v>0</v>
      </c>
      <c r="I22" s="24" t="inlineStr">
        <is>
          <t>machine/synthetic labels and shared upstream sources; cross-split hash audit clean (leakage 0)</t>
        </is>
      </c>
      <c r="J22" s="31" t="inlineStr">
        <is>
          <t>mixed - govdocs2/datax are real business documents, the rest synthetic</t>
        </is>
      </c>
      <c r="K22" s="31">
        <f>IF(H22="","NOT ASSESSED",IF(H22&gt;0,"FAIL - leakage detected","OK"))</f>
        <v/>
      </c>
    </row>
    <row r="23" ht="28" customHeight="1">
      <c r="A23" s="32" t="inlineStr">
        <is>
          <t>8 holdouts / fixed 1,000-doc latency sample</t>
        </is>
      </c>
      <c r="B23" s="32" t="inlineStr">
        <is>
          <t>sensitive</t>
        </is>
      </c>
      <c r="C23" s="32" t="n">
        <v>1000</v>
      </c>
      <c r="D23" s="28" t="n"/>
      <c r="E23" s="32" t="n">
        <v>0</v>
      </c>
      <c r="F23" s="32" t="n">
        <v>0</v>
      </c>
      <c r="G23" s="32" t="n"/>
      <c r="H23" s="28" t="n">
        <v>0</v>
      </c>
      <c r="I23" s="28" t="inlineStr">
        <is>
          <t>deterministic stratified draw from the same sealed holdouts; no separate collection</t>
        </is>
      </c>
      <c r="J23" s="32" t="inlineStr">
        <is>
          <t>mixed (125 documents per holdout corpus)</t>
        </is>
      </c>
      <c r="K23" s="32">
        <f>IF(H23="","NOT ASSESSED",IF(H23&gt;0,"FAIL - leakage detected","OK"))</f>
        <v/>
      </c>
    </row>
    <row r="24" ht="28" customHeight="1">
      <c r="A24" s="31" t="inlineStr">
        <is>
          <t>16000_datax-dualjudge-trainset-5.37k</t>
        </is>
      </c>
      <c r="B24" s="31" t="n"/>
      <c r="C24" s="31" t="n"/>
      <c r="D24" s="24" t="n"/>
      <c r="E24" s="31" t="n">
        <v>0</v>
      </c>
      <c r="F24" s="31" t="n">
        <v>0.0015625</v>
      </c>
      <c r="G24" s="31" t="n"/>
      <c r="H24" s="24" t="n">
        <v>14</v>
      </c>
      <c r="I24" s="24" t="inlineStr">
        <is>
          <t>machine/synthetic labels and shared upstream sources; exact cross-split hash audit follows</t>
        </is>
      </c>
      <c r="J24" s="31" t="n"/>
      <c r="K24" s="31">
        <f>IF(H24="","NOT ASSESSED",IF(H24&gt;0,"FAIL - leakage detected","OK"))</f>
        <v/>
      </c>
    </row>
    <row r="25" ht="28" customHeight="1">
      <c r="A25" s="32" t="inlineStr">
        <is>
          <t>26095_govdocs2-dualjudge-train80-14.25k</t>
        </is>
      </c>
      <c r="B25" s="32" t="n"/>
      <c r="C25" s="32" t="n"/>
      <c r="D25" s="28" t="n"/>
      <c r="E25" s="32" t="n">
        <v>0.0001916075876604714</v>
      </c>
      <c r="F25" s="32" t="n">
        <v>0.008047518681739797</v>
      </c>
      <c r="G25" s="32" t="n"/>
      <c r="H25" s="28" t="n">
        <v>2402</v>
      </c>
      <c r="I25" s="28" t="inlineStr">
        <is>
          <t>machine/synthetic labels and shared upstream sources; exact cross-split hash audit follows</t>
        </is>
      </c>
      <c r="J25" s="32" t="n"/>
      <c r="K25" s="32">
        <f>IF(H25="","NOT ASSESSED",IF(H25&gt;0,"FAIL - leakage detected","OK"))</f>
        <v/>
      </c>
    </row>
    <row r="26" ht="28" customHeight="1">
      <c r="A26" s="31" t="inlineStr">
        <is>
          <t>ai4privacy_pii_masking_train_42k</t>
        </is>
      </c>
      <c r="B26" s="31" t="n"/>
      <c r="C26" s="31" t="n"/>
      <c r="D26" s="24" t="n"/>
      <c r="E26" s="31" t="n">
        <v>0</v>
      </c>
      <c r="F26" s="31" t="n">
        <v>0</v>
      </c>
      <c r="G26" s="31" t="n"/>
      <c r="H26" s="24" t="n">
        <v>0</v>
      </c>
      <c r="I26" s="24" t="inlineStr">
        <is>
          <t>machine/synthetic labels and shared upstream sources; exact cross-split hash audit follows</t>
        </is>
      </c>
      <c r="J26" s="31" t="n"/>
      <c r="K26" s="31">
        <f>IF(H26="","NOT ASSESSED",IF(H26&gt;0,"FAIL - leakage detected","OK"))</f>
        <v/>
      </c>
    </row>
    <row r="27" ht="28" customHeight="1">
      <c r="A27" s="32" t="inlineStr">
        <is>
          <t>betterdataai_ner_silver_train_41k</t>
        </is>
      </c>
      <c r="B27" s="32" t="n"/>
      <c r="C27" s="32" t="n"/>
      <c r="D27" s="28" t="n"/>
      <c r="E27" s="32" t="n">
        <v>0</v>
      </c>
      <c r="F27" s="32" t="n">
        <v>0.0001930688290375519</v>
      </c>
      <c r="G27" s="32" t="n"/>
      <c r="H27" s="28" t="n">
        <v>7</v>
      </c>
      <c r="I27" s="28" t="inlineStr">
        <is>
          <t>machine/synthetic labels and shared upstream sources; exact cross-split hash audit follows</t>
        </is>
      </c>
      <c r="J27" s="32" t="n"/>
      <c r="K27" s="32">
        <f>IF(H27="","NOT ASSESSED",IF(H27&gt;0,"FAIL - leakage detected","OK"))</f>
        <v/>
      </c>
    </row>
    <row r="28" ht="28" customHeight="1">
      <c r="A28" s="31" t="inlineStr">
        <is>
          <t>nemotron_train_22k</t>
        </is>
      </c>
      <c r="B28" s="31" t="n"/>
      <c r="C28" s="31" t="n"/>
      <c r="D28" s="24" t="n"/>
      <c r="E28" s="31" t="n">
        <v>0</v>
      </c>
      <c r="F28" s="31" t="n">
        <v>0</v>
      </c>
      <c r="G28" s="31" t="n"/>
      <c r="H28" s="24" t="n">
        <v>725</v>
      </c>
      <c r="I28" s="24" t="inlineStr">
        <is>
          <t>machine/synthetic labels and shared upstream sources; exact cross-split hash audit follows</t>
        </is>
      </c>
      <c r="J28" s="31" t="n"/>
      <c r="K28" s="31">
        <f>IF(H28="","NOT ASSESSED",IF(H28&gt;0,"FAIL - leakage detected","OK"))</f>
        <v/>
      </c>
    </row>
    <row r="29" ht="28" customHeight="1">
      <c r="A29" s="32" t="inlineStr">
        <is>
          <t>openpii_pii_train_155k</t>
        </is>
      </c>
      <c r="B29" s="32" t="n"/>
      <c r="C29" s="32" t="n"/>
      <c r="D29" s="28" t="n"/>
      <c r="E29" s="32" t="n">
        <v>0</v>
      </c>
      <c r="F29" s="32" t="n">
        <v>0</v>
      </c>
      <c r="G29" s="32" t="n"/>
      <c r="H29" s="28" t="n">
        <v>4036</v>
      </c>
      <c r="I29" s="28" t="inlineStr">
        <is>
          <t>machine/synthetic labels and shared upstream sources; exact cross-split hash audit follows</t>
        </is>
      </c>
      <c r="J29" s="32" t="n"/>
      <c r="K29" s="32">
        <f>IF(H29="","NOT ASSESSED",IF(H29&gt;0,"FAIL - leakage detected","OK"))</f>
        <v/>
      </c>
    </row>
    <row r="30" ht="28" customHeight="1">
      <c r="A30" s="31" t="inlineStr">
        <is>
          <t>pii2_train_150k</t>
        </is>
      </c>
      <c r="B30" s="31" t="n"/>
      <c r="C30" s="31" t="n"/>
      <c r="D30" s="24" t="n"/>
      <c r="E30" s="31" t="n">
        <v>0</v>
      </c>
      <c r="F30" s="31" t="n">
        <v>6e-05</v>
      </c>
      <c r="G30" s="31" t="n"/>
      <c r="H30" s="24" t="n">
        <v>1225</v>
      </c>
      <c r="I30" s="24" t="inlineStr">
        <is>
          <t>machine/synthetic labels and shared upstream sources; exact cross-split hash audit follows</t>
        </is>
      </c>
      <c r="J30" s="31" t="n"/>
      <c r="K30" s="31">
        <f>IF(H30="","NOT ASSESSED",IF(H30&gt;0,"FAIL - leakage detected","OK"))</f>
        <v/>
      </c>
    </row>
    <row r="31" ht="28" customHeight="1">
      <c r="A31" s="32" t="inlineStr">
        <is>
          <t>pii_trainset_100k</t>
        </is>
      </c>
      <c r="B31" s="32" t="n"/>
      <c r="C31" s="32" t="n"/>
      <c r="D31" s="28" t="n"/>
      <c r="E31" s="32" t="n">
        <v>0</v>
      </c>
      <c r="F31" s="32" t="n">
        <v>0.06501999999999999</v>
      </c>
      <c r="G31" s="32" t="n"/>
      <c r="H31" s="28" t="n">
        <v>14407</v>
      </c>
      <c r="I31" s="28" t="inlineStr">
        <is>
          <t>machine/synthetic labels and shared upstream sources; exact cross-split hash audit follows</t>
        </is>
      </c>
      <c r="J31" s="32" t="n"/>
      <c r="K31" s="32">
        <f>IF(H31="","NOT ASSESSED",IF(H31&gt;0,"FAIL - leakage detected","OK"))</f>
        <v/>
      </c>
    </row>
    <row r="32" ht="28" customHeight="1">
      <c r="A32" s="31" t="inlineStr">
        <is>
          <t>fixed 1,000-doc latency sample</t>
        </is>
      </c>
      <c r="B32" s="31" t="n"/>
      <c r="C32" s="31" t="n"/>
      <c r="D32" s="24" t="n"/>
      <c r="E32" s="31" t="n"/>
      <c r="F32" s="31" t="n"/>
      <c r="G32" s="31" t="n"/>
      <c r="H32" s="24" t="n">
        <v>0</v>
      </c>
      <c r="I32" s="24" t="n"/>
      <c r="J32" s="31" t="inlineStr">
        <is>
          <t>mixed (125 documents per holdout corpus)</t>
        </is>
      </c>
      <c r="K32" s="31">
        <f>IF(H32="","NOT ASSESSED",IF(H32&gt;0,"FAIL - leakage detected","OK"))</f>
        <v/>
      </c>
    </row>
  </sheetData>
  <autoFilter ref="A1:K32"/>
  <conditionalFormatting sqref="K2:K32">
    <cfRule type="expression" priority="1" dxfId="0">
      <formula>ISNUMBER(SEARCH("NOT ASSESSED",$K2))</formula>
    </cfRule>
    <cfRule type="expression" priority="2" dxfId="1">
      <formula>ISNUMBER(SEARCH("FAIL",$K2))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30" customWidth="1" min="3" max="3"/>
  </cols>
  <sheetData>
    <row r="1" ht="30" customHeight="1">
      <c r="A1" s="1" t="inlineStr">
        <is>
          <t>Track</t>
        </is>
      </c>
      <c r="B1" s="1" t="inlineStr">
        <is>
          <t>Model</t>
        </is>
      </c>
      <c r="C1" s="1" t="inlineStr">
        <is>
          <t>Dataset</t>
        </is>
      </c>
    </row>
    <row r="2">
      <c r="A2" t="inlineStr">
        <is>
          <t>sensitive</t>
        </is>
      </c>
      <c r="B2" t="inlineStr">
        <is>
          <t>control_most_frequent_5</t>
        </is>
      </c>
      <c r="C2" t="inlineStr">
        <is>
          <t>holdout20k</t>
        </is>
      </c>
    </row>
    <row r="3">
      <c r="B3" t="inlineStr">
        <is>
          <t>sensitive-ettin17-dualjudge-v1</t>
        </is>
      </c>
      <c r="C3" t="inlineStr">
        <is>
          <t>test100k</t>
        </is>
      </c>
    </row>
    <row r="4">
      <c r="B4" t="inlineStr">
        <is>
          <t>ettin17_m2v_frozen + head refit on 100k (cached)</t>
        </is>
      </c>
      <c r="C4" t="inlineStr">
        <is>
          <t>val100k</t>
        </is>
      </c>
    </row>
    <row r="5">
      <c r="B5" t="inlineStr">
        <is>
          <t>ettin17_m2v_frozen + head refit on 100k (native)</t>
        </is>
      </c>
      <c r="C5" t="inlineStr">
        <is>
          <t>datax_eval</t>
        </is>
      </c>
    </row>
    <row r="6">
      <c r="B6" t="inlineStr">
        <is>
          <t>champion + standard head</t>
        </is>
      </c>
      <c r="C6" t="inlineStr">
        <is>
          <t>govdocs2_eval20</t>
        </is>
      </c>
    </row>
    <row r="7">
      <c r="B7" t="inlineStr">
        <is>
          <t>d17_base + standard head</t>
        </is>
      </c>
      <c r="C7" t="inlineStr">
        <is>
          <t>datax_eval_hf</t>
        </is>
      </c>
    </row>
    <row r="8">
      <c r="B8" t="inlineStr">
        <is>
          <t>d17_direct + standard head</t>
        </is>
      </c>
      <c r="C8" t="inlineStr">
        <is>
          <t>pii2_eval</t>
        </is>
      </c>
    </row>
    <row r="9">
      <c r="B9" t="inlineStr">
        <is>
          <t>d17_fp32 + standard head</t>
        </is>
      </c>
      <c r="C9" t="inlineStr">
        <is>
          <t>4000_datax-dualjudge-evalset-1.32k</t>
        </is>
      </c>
    </row>
    <row r="10">
      <c r="B10" t="inlineStr">
        <is>
          <t>d17_nopca + standard head</t>
        </is>
      </c>
      <c r="C10" t="inlineStr">
        <is>
          <t>6589_govdocs2-dualjudge-eval20-3.53k</t>
        </is>
      </c>
    </row>
    <row r="11">
      <c r="B11" t="inlineStr">
        <is>
          <t>d17_pca128 + standard head</t>
        </is>
      </c>
      <c r="C11" t="inlineStr">
        <is>
          <t>ai4privacy_pii_masking_eval_10k</t>
        </is>
      </c>
    </row>
    <row r="12">
      <c r="B12" t="inlineStr">
        <is>
          <t>d17_pca64 + standard head</t>
        </is>
      </c>
      <c r="C12" t="inlineStr">
        <is>
          <t>betterdataai_ner_silver_eval_10k</t>
        </is>
      </c>
    </row>
    <row r="13">
      <c r="B13" t="inlineStr">
        <is>
          <t>d17_pcaauto + standard head</t>
        </is>
      </c>
      <c r="C13" t="inlineStr">
        <is>
          <t>nemotron_eval_6k</t>
        </is>
      </c>
    </row>
    <row r="14">
      <c r="B14" t="inlineStr">
        <is>
          <t>d17_poolfirst + standard head</t>
        </is>
      </c>
      <c r="C14" t="inlineStr">
        <is>
          <t>openpii_pii_eval_38k</t>
        </is>
      </c>
    </row>
    <row r="15">
      <c r="B15" t="inlineStr">
        <is>
          <t>d17_sif1e3 + standard head</t>
        </is>
      </c>
      <c r="C15" t="inlineStr">
        <is>
          <t>pii2_eval_30k</t>
        </is>
      </c>
    </row>
    <row r="16">
      <c r="B16" t="inlineStr">
        <is>
          <t>d17_sif1e5 + standard head</t>
        </is>
      </c>
      <c r="C16" t="inlineStr">
        <is>
          <t>pii_holdout_20k</t>
        </is>
      </c>
    </row>
    <row r="17">
      <c r="B17" t="inlineStr">
        <is>
          <t>d17_sifnone + standard head</t>
        </is>
      </c>
      <c r="C17" t="inlineStr">
        <is>
          <t>8 holdouts (5 complete for F2)</t>
        </is>
      </c>
    </row>
    <row r="18">
      <c r="B18" t="inlineStr">
        <is>
          <t>d17_vocab + standard head</t>
        </is>
      </c>
      <c r="C18" t="inlineStr">
        <is>
          <t>8 holdouts / fixed 1,000-doc latency sample</t>
        </is>
      </c>
    </row>
    <row r="19">
      <c r="B19" t="inlineStr">
        <is>
          <t>d32_base + standard head</t>
        </is>
      </c>
    </row>
    <row r="20">
      <c r="B20" t="inlineStr">
        <is>
          <t>d68_base + standard head</t>
        </is>
      </c>
    </row>
    <row r="21">
      <c r="B21" t="inlineStr">
        <is>
          <t>tl17_base + standard head</t>
        </is>
      </c>
    </row>
    <row r="22">
      <c r="B22" t="inlineStr">
        <is>
          <t>tl17_vocab + standard head</t>
        </is>
      </c>
    </row>
    <row r="23">
      <c r="B23" t="inlineStr">
        <is>
          <t>champion + head[combo_long_champ]</t>
        </is>
      </c>
    </row>
    <row r="24">
      <c r="B24" t="inlineStr">
        <is>
          <t>champion + head[enc_champion]</t>
        </is>
      </c>
    </row>
    <row r="25">
      <c r="B25" t="inlineStr">
        <is>
          <t>d17_base + head[enc_d17_base]</t>
        </is>
      </c>
    </row>
    <row r="26">
      <c r="B26" t="inlineStr">
        <is>
          <t>d68_base + head[combo_long_d68]</t>
        </is>
      </c>
    </row>
    <row r="27">
      <c r="B27" t="inlineStr">
        <is>
          <t>d68_base + head[enc_d68]</t>
        </is>
      </c>
    </row>
    <row r="28">
      <c r="B28" t="inlineStr">
        <is>
          <t>tl17_base + head[baseline]</t>
        </is>
      </c>
    </row>
    <row r="29">
      <c r="B29" t="inlineStr">
        <is>
          <t>tl17_base + head[batch1024]</t>
        </is>
      </c>
    </row>
    <row r="30">
      <c r="B30" t="inlineStr">
        <is>
          <t>tl17_base + head[batch16384]</t>
        </is>
      </c>
    </row>
    <row r="31">
      <c r="B31" t="inlineStr">
        <is>
          <t>tl17_base + head[chunk1000x20]</t>
        </is>
      </c>
    </row>
    <row r="32">
      <c r="B32" t="inlineStr">
        <is>
          <t>tl17_base + head[chunk4000x5]</t>
        </is>
      </c>
    </row>
    <row r="33">
      <c r="B33" t="inlineStr">
        <is>
          <t>tl17_base + head[combo_chunk_b1k]</t>
        </is>
      </c>
    </row>
    <row r="34">
      <c r="B34" t="inlineStr">
        <is>
          <t>tl17_base + head[combo_long]</t>
        </is>
      </c>
    </row>
    <row r="35">
      <c r="B35" t="inlineStr">
        <is>
          <t>tl17_base + head[combo_long_h2048]</t>
        </is>
      </c>
    </row>
    <row r="36">
      <c r="B36" t="inlineStr">
        <is>
          <t>tl17_base + head[combo_long_l2]</t>
        </is>
      </c>
    </row>
    <row r="37">
      <c r="B37" t="inlineStr">
        <is>
          <t>tl17_base + head[combo_long_lr3e-3]</t>
        </is>
      </c>
    </row>
    <row r="38">
      <c r="B38" t="inlineStr">
        <is>
          <t>tl17_base + head[combo_long_noisyor]</t>
        </is>
      </c>
    </row>
    <row r="39">
      <c r="B39" t="inlineStr">
        <is>
          <t>tl17_base + head[combo_long_pertag]</t>
        </is>
      </c>
    </row>
    <row r="40">
      <c r="B40" t="inlineStr">
        <is>
          <t>tl17_base + head[combo_long_pw10]</t>
        </is>
      </c>
    </row>
    <row r="41">
      <c r="B41" t="inlineStr">
        <is>
          <t>tl17_base + head[combo_long_top2]</t>
        </is>
      </c>
    </row>
    <row r="42">
      <c r="B42" t="inlineStr">
        <is>
          <t>tl17_base + head[dropout0.1]</t>
        </is>
      </c>
    </row>
    <row r="43">
      <c r="B43" t="inlineStr">
        <is>
          <t>tl17_base + head[epochs120]</t>
        </is>
      </c>
    </row>
    <row r="44">
      <c r="B44" t="inlineStr">
        <is>
          <t>tl17_base + head[feat_chunk]</t>
        </is>
      </c>
    </row>
    <row r="45">
      <c r="B45" t="inlineStr">
        <is>
          <t>tl17_base + head[feat_docmean]</t>
        </is>
      </c>
    </row>
    <row r="46">
      <c r="B46" t="inlineStr">
        <is>
          <t>tl17_base + head[fusion_mean]</t>
        </is>
      </c>
    </row>
    <row r="47">
      <c r="B47" t="inlineStr">
        <is>
          <t>tl17_base + head[fusion_noisyor]</t>
        </is>
      </c>
    </row>
    <row r="48">
      <c r="B48" t="inlineStr">
        <is>
          <t>tl17_base + head[fusion_top2]</t>
        </is>
      </c>
    </row>
    <row r="49">
      <c r="B49" t="inlineStr">
        <is>
          <t>tl17_base + head[hidden1024]</t>
        </is>
      </c>
    </row>
    <row r="50">
      <c r="B50" t="inlineStr">
        <is>
          <t>tl17_base + head[hidden2048]</t>
        </is>
      </c>
    </row>
    <row r="51">
      <c r="B51" t="inlineStr">
        <is>
          <t>tl17_base + head[hidden256]</t>
        </is>
      </c>
    </row>
    <row r="52">
      <c r="B52" t="inlineStr">
        <is>
          <t>tl17_base + head[layers0]</t>
        </is>
      </c>
    </row>
    <row r="53">
      <c r="B53" t="inlineStr">
        <is>
          <t>tl17_base + head[layers2]</t>
        </is>
      </c>
    </row>
    <row r="54">
      <c r="B54" t="inlineStr">
        <is>
          <t>tl17_base + head[lr3e-3]</t>
        </is>
      </c>
    </row>
    <row r="55">
      <c r="B55" t="inlineStr">
        <is>
          <t>tl17_base + head[lr3e-4]</t>
        </is>
      </c>
    </row>
    <row r="56">
      <c r="B56" t="inlineStr">
        <is>
          <t>tl17_base + head[mintag100]</t>
        </is>
      </c>
    </row>
    <row r="57">
      <c r="B57" t="inlineStr">
        <is>
          <t>tl17_base + head[mintag20]</t>
        </is>
      </c>
    </row>
    <row r="58">
      <c r="B58" t="inlineStr">
        <is>
          <t>tl17_base + head[posweight10]</t>
        </is>
      </c>
    </row>
    <row r="59">
      <c r="B59" t="inlineStr">
        <is>
          <t>tl17_base + head[posweight50]</t>
        </is>
      </c>
    </row>
    <row r="60">
      <c r="B60" t="inlineStr">
        <is>
          <t>tl17_base + head[read40k]</t>
        </is>
      </c>
    </row>
    <row r="61">
      <c r="B61" t="inlineStr">
        <is>
          <t>tl17_base + head[thresh_pertag]</t>
        </is>
      </c>
    </row>
    <row r="62">
      <c r="B62" t="inlineStr">
        <is>
          <t>tl17_base + head[wd1e-4]</t>
        </is>
      </c>
    </row>
    <row r="63">
      <c r="B63" t="inlineStr">
        <is>
          <t>tl17_vocab + head[combo_long_tlvocab]</t>
        </is>
      </c>
    </row>
    <row r="64">
      <c r="B64" t="inlineStr">
        <is>
          <t>tl17_vocab + head[enc_tl17_vocab]</t>
        </is>
      </c>
    </row>
    <row r="65">
      <c r="B65" t="inlineStr">
        <is>
          <t>tl17_base + head[c_100k]</t>
        </is>
      </c>
    </row>
    <row r="66">
      <c r="B66" t="inlineStr">
        <is>
          <t>tl17_base + head[c_100k_datax]</t>
        </is>
      </c>
    </row>
    <row r="67">
      <c r="B67" t="inlineStr">
        <is>
          <t>tl17_base + head[c_100k_gov]</t>
        </is>
      </c>
    </row>
    <row r="68">
      <c r="B68" t="inlineStr">
        <is>
          <t>tl17_base + head[c_all]</t>
        </is>
      </c>
    </row>
    <row r="69">
      <c r="B69" t="inlineStr">
        <is>
          <t>tl17_base + head[c_all_doc]</t>
        </is>
      </c>
    </row>
    <row r="70">
      <c r="B70" t="inlineStr">
        <is>
          <t>tl17_base + head[c_all_dupkeep]</t>
        </is>
      </c>
    </row>
    <row r="71">
      <c r="B71" t="inlineStr">
        <is>
          <t>tl17_base + head[c_all_nonegs]</t>
        </is>
      </c>
    </row>
    <row r="72">
      <c r="B72" t="inlineStr">
        <is>
          <t>tl17_base + head[c_all_pertag]</t>
        </is>
      </c>
    </row>
    <row r="73">
      <c r="B73" t="inlineStr">
        <is>
          <t>tl17_base + head[c_all_w0.5]</t>
        </is>
      </c>
    </row>
    <row r="74">
      <c r="B74" t="inlineStr">
        <is>
          <t>tl17_base + head[c_all_w2]</t>
        </is>
      </c>
    </row>
    <row r="75">
      <c r="B75" t="inlineStr">
        <is>
          <t>tl17_base + head[c_100k_datax] [s4_c_100k_datax]</t>
        </is>
      </c>
    </row>
    <row r="76">
      <c r="B76" t="inlineStr">
        <is>
          <t>tl17_base + head[c_100k_gov] [s4_c_100k_gov]</t>
        </is>
      </c>
    </row>
    <row r="77">
      <c r="B77" t="inlineStr">
        <is>
          <t>tl17_base + head[c_all] [s4_c_all]</t>
        </is>
      </c>
    </row>
    <row r="78">
      <c r="B78" t="inlineStr">
        <is>
          <t>tl17_base + head[c_all_pertag] [s4_c_all_pertag]</t>
        </is>
      </c>
    </row>
    <row r="79">
      <c r="B79" t="inlineStr">
        <is>
          <t>tl17_base + head[combo_long_pertag] [winner]</t>
        </is>
      </c>
    </row>
    <row r="80">
      <c r="B80" t="inlineStr">
        <is>
          <t>sensitive-pii-m2v-mixed-v2 [global_repicked]</t>
        </is>
      </c>
    </row>
    <row r="81">
      <c r="B81" t="inlineStr">
        <is>
          <t>sensitive-pii-m2v-mixed-v2 [pertag_ascent]</t>
        </is>
      </c>
    </row>
    <row r="82">
      <c r="B82" t="inlineStr">
        <is>
          <t>sensitive-pii-m2v-mixed-v2 [pertag_binaryf1]</t>
        </is>
      </c>
    </row>
    <row r="83">
      <c r="B83" t="inlineStr">
        <is>
          <t>sensitive-pii-m2v-mixed-v2 [shipped, global 0.65]</t>
        </is>
      </c>
    </row>
    <row r="84">
      <c r="B84" t="inlineStr">
        <is>
          <t>gate[g_emb_chunk] -&gt; tagger[global0.65]</t>
        </is>
      </c>
    </row>
    <row r="85">
      <c r="B85" t="inlineStr">
        <is>
          <t>gate[g_emb_chunk] -&gt; tagger[pertag]</t>
        </is>
      </c>
    </row>
    <row r="86">
      <c r="B86" t="inlineStr">
        <is>
          <t>gate[g_emb_chunk] -&gt; tagger[rank_only]</t>
        </is>
      </c>
    </row>
    <row r="87">
      <c r="B87" t="inlineStr">
        <is>
          <t>gate[g_emb_doc] -&gt; tagger[global0.65]</t>
        </is>
      </c>
    </row>
    <row r="88">
      <c r="B88" t="inlineStr">
        <is>
          <t>gate[g_emb_doc] -&gt; tagger[pertag]</t>
        </is>
      </c>
    </row>
    <row r="89">
      <c r="B89" t="inlineStr">
        <is>
          <t>gate[g_emb_doc] -&gt; tagger[rank_only]</t>
        </is>
      </c>
    </row>
    <row r="90">
      <c r="B90" t="inlineStr">
        <is>
          <t>gate[g_emb_tags_chunk] -&gt; tagger[global0.65]</t>
        </is>
      </c>
    </row>
    <row r="91">
      <c r="B91" t="inlineStr">
        <is>
          <t>gate[g_emb_tags_chunk] -&gt; tagger[pertag]</t>
        </is>
      </c>
    </row>
    <row r="92">
      <c r="B92" t="inlineStr">
        <is>
          <t>gate[g_emb_tags_chunk] -&gt; tagger[rank_only]</t>
        </is>
      </c>
    </row>
    <row r="93">
      <c r="B93" t="inlineStr">
        <is>
          <t>gate[g_emb_tags_chunk_100k.25] -&gt; tagger[global0.65]</t>
        </is>
      </c>
    </row>
    <row r="94">
      <c r="B94" t="inlineStr">
        <is>
          <t>gate[g_emb_tags_chunk_100k.25] -&gt; tagger[pertag]</t>
        </is>
      </c>
    </row>
    <row r="95">
      <c r="B95" t="inlineStr">
        <is>
          <t>gate[g_emb_tags_chunk_100k.25] -&gt; tagger[rank_only]</t>
        </is>
      </c>
    </row>
    <row r="96">
      <c r="B96" t="inlineStr">
        <is>
          <t>gate[g_emb_tags_chunk_100k1] -&gt; tagger[global0.65]</t>
        </is>
      </c>
    </row>
    <row r="97">
      <c r="B97" t="inlineStr">
        <is>
          <t>gate[g_emb_tags_chunk_100k1] -&gt; tagger[pertag]</t>
        </is>
      </c>
    </row>
    <row r="98">
      <c r="B98" t="inlineStr">
        <is>
          <t>gate[g_emb_tags_chunk_100k1] -&gt; tagger[rank_only]</t>
        </is>
      </c>
    </row>
    <row r="99">
      <c r="B99" t="inlineStr">
        <is>
          <t>gate[g_emb_tags_doc] -&gt; tagger[global0.65]</t>
        </is>
      </c>
    </row>
    <row r="100">
      <c r="B100" t="inlineStr">
        <is>
          <t>gate[g_emb_tags_doc] -&gt; tagger[pertag]</t>
        </is>
      </c>
    </row>
    <row r="101">
      <c r="B101" t="inlineStr">
        <is>
          <t>gate[g_emb_tags_doc] -&gt; tagger[rank_only]</t>
        </is>
      </c>
    </row>
    <row r="102">
      <c r="B102" t="inlineStr">
        <is>
          <t>gate[g_emb_tags_doc_100k.25] -&gt; tagger[global0.65]</t>
        </is>
      </c>
    </row>
    <row r="103">
      <c r="B103" t="inlineStr">
        <is>
          <t>gate[g_emb_tags_doc_100k.25] -&gt; tagger[pertag]</t>
        </is>
      </c>
    </row>
    <row r="104">
      <c r="B104" t="inlineStr">
        <is>
          <t>gate[g_emb_tags_doc_100k.25] -&gt; tagger[rank_only]</t>
        </is>
      </c>
    </row>
    <row r="105">
      <c r="B105" t="inlineStr">
        <is>
          <t>gate[g_emb_tags_doc_100k1] -&gt; tagger[global0.65]</t>
        </is>
      </c>
    </row>
    <row r="106">
      <c r="B106" t="inlineStr">
        <is>
          <t>gate[g_emb_tags_doc_100k1] -&gt; tagger[pertag]</t>
        </is>
      </c>
    </row>
    <row r="107">
      <c r="B107" t="inlineStr">
        <is>
          <t>gate[g_emb_tags_doc_100k1] -&gt; tagger[rank_only]</t>
        </is>
      </c>
    </row>
    <row r="108">
      <c r="B108" t="inlineStr">
        <is>
          <t>gate[g_tags_doc] -&gt; tagger[global0.65]</t>
        </is>
      </c>
    </row>
    <row r="109">
      <c r="B109" t="inlineStr">
        <is>
          <t>gate[g_tags_doc] -&gt; tagger[pertag]</t>
        </is>
      </c>
    </row>
    <row r="110">
      <c r="B110" t="inlineStr">
        <is>
          <t>gate[g_tags_doc] -&gt; tagger[rank_only]</t>
        </is>
      </c>
    </row>
    <row r="111">
      <c r="B111" t="inlineStr">
        <is>
          <t>gate[g_tags_doc_100k.25] -&gt; tagger[global0.65]</t>
        </is>
      </c>
    </row>
    <row r="112">
      <c r="B112" t="inlineStr">
        <is>
          <t>gate[g_tags_doc_100k.25] -&gt; tagger[pertag]</t>
        </is>
      </c>
    </row>
    <row r="113">
      <c r="B113" t="inlineStr">
        <is>
          <t>gate[g_tags_doc_100k.25] -&gt; tagger[rank_only]</t>
        </is>
      </c>
    </row>
    <row r="114">
      <c r="B114" t="inlineStr">
        <is>
          <t>sensitive-pii-m2v-mixed-v2 [previous champion]</t>
        </is>
      </c>
    </row>
    <row r="115">
      <c r="B115" t="inlineStr">
        <is>
          <t>sensitive-pii-m2v-gated-v3 [.docx extraction: headers_first]</t>
        </is>
      </c>
    </row>
    <row r="116">
      <c r="B116" t="inlineStr">
        <is>
          <t>sensitive-pii-m2v-gated-v3 [.docx extraction: headers_last]</t>
        </is>
      </c>
    </row>
    <row r="117">
      <c r="B117" t="inlineStr">
        <is>
          <t>sensitive-pii-m2v-gated-v3 [.docx extraction: original]</t>
        </is>
      </c>
    </row>
    <row r="118">
      <c r="B118" t="inlineStr">
        <is>
          <t>gated-v3 retrained [body_only]</t>
        </is>
      </c>
    </row>
    <row r="119">
      <c r="B119" t="inlineStr">
        <is>
          <t>gated-v3 retrained [with_headers]</t>
        </is>
      </c>
    </row>
    <row r="120">
      <c r="B120" t="inlineStr">
        <is>
          <t>sensitive-pii-m2v-gated-v4</t>
        </is>
      </c>
    </row>
    <row r="121">
      <c r="B121" t="inlineStr">
        <is>
          <t>sensitive-pii-m2v-v5</t>
        </is>
      </c>
    </row>
    <row r="122">
      <c r="B122" t="inlineStr">
        <is>
          <t>sensitive-pii-m2v-v5 (gated)</t>
        </is>
      </c>
    </row>
    <row r="123">
      <c r="B123" t="inlineStr">
        <is>
          <t>sensitive-pii-m2v-v6 (gate+tagger swept together)</t>
        </is>
      </c>
    </row>
    <row r="124">
      <c r="B124" t="inlineStr">
        <is>
          <t>current_rules</t>
        </is>
      </c>
    </row>
    <row r="125">
      <c r="B125" t="inlineStr">
        <is>
          <t>hash_sgd</t>
        </is>
      </c>
    </row>
    <row r="126">
      <c r="B126" t="inlineStr">
        <is>
          <t>hash_sgd_f2</t>
        </is>
      </c>
    </row>
    <row r="127">
      <c r="B127" t="inlineStr">
        <is>
          <t>hybrid_priority_001</t>
        </is>
      </c>
    </row>
    <row r="128">
      <c r="B128" t="inlineStr">
        <is>
          <t>tfidf_linear</t>
        </is>
      </c>
    </row>
    <row r="129">
      <c r="B129" t="inlineStr">
        <is>
          <t>embeddingbag_asl</t>
        </is>
      </c>
    </row>
    <row r="130">
      <c r="B130" t="inlineStr">
        <is>
          <t>hybrid_priority</t>
        </is>
      </c>
    </row>
    <row r="131">
      <c r="B131" t="inlineStr">
        <is>
          <t>champion_1k</t>
        </is>
      </c>
    </row>
    <row r="132">
      <c r="B132" t="inlineStr">
        <is>
          <t>champion_1k_bootstrap</t>
        </is>
      </c>
    </row>
    <row r="133">
      <c r="B133" t="inlineStr">
        <is>
          <t>hash_sgd_readpass</t>
        </is>
      </c>
    </row>
    <row r="134">
      <c r="B134" t="inlineStr">
        <is>
          <t>hybrid_priority_001_readpass</t>
        </is>
      </c>
    </row>
    <row r="135">
      <c r="B135" t="inlineStr">
        <is>
          <t>hybrid_priority_readpass</t>
        </is>
      </c>
    </row>
    <row r="136">
      <c r="B136" t="inlineStr">
        <is>
          <t>perlabel_v4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2026-08-25T18:05:44Z</dcterms:created>
  <dcterms:modified xsi:type="dcterms:W3CDTF">2026-08-25T18:05:44Z</dcterms:modified>
</cp:coreProperties>
</file>